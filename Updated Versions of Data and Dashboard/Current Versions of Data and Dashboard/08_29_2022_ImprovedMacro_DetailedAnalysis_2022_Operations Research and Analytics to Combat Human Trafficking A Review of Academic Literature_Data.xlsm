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4.xml" ContentType="application/vnd.openxmlformats-officedocument.themeOverride+xml"/>
  <Override PartName="/xl/pivotTables/pivotTable10.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5.xml" ContentType="application/vnd.openxmlformats-officedocument.themeOverrid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theme/themeOverride6.xml" ContentType="application/vnd.openxmlformats-officedocument.themeOverrid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gerid\Desktop\Research\Writing_Papers\HT_LitReview\GitHub Files\Updates 08_29_2022\"/>
    </mc:Choice>
  </mc:AlternateContent>
  <xr:revisionPtr revIDLastSave="0" documentId="13_ncr:1_{A40CE6D2-46F0-41AC-8710-730467F6FBA1}" xr6:coauthVersionLast="47" xr6:coauthVersionMax="47" xr10:uidLastSave="{00000000-0000-0000-0000-000000000000}"/>
  <bookViews>
    <workbookView xWindow="-110" yWindow="-110" windowWidth="19420" windowHeight="10420" activeTab="1" xr2:uid="{00000000-000D-0000-FFFF-FFFF00000000}"/>
  </bookViews>
  <sheets>
    <sheet name="Overview and Instructions" sheetId="13" r:id="rId1"/>
    <sheet name="Dashboard" sheetId="21" r:id="rId2"/>
    <sheet name="SummaryStats" sheetId="22" state="hidden" r:id="rId3"/>
    <sheet name="Figure-Data Type and Context" sheetId="20" state="hidden" r:id="rId4"/>
    <sheet name="Figure-Years" sheetId="18" state="hidden" r:id="rId5"/>
    <sheet name="Figure-4P Classifications" sheetId="19" state="hidden" r:id="rId6"/>
    <sheet name="DetailedTable" sheetId="26" state="hidden" r:id="rId7"/>
    <sheet name="Figure 4" sheetId="27" r:id="rId8"/>
    <sheet name="2022_Operations Research and An" sheetId="1" r:id="rId9"/>
    <sheet name="Tool Updates" sheetId="23" r:id="rId10"/>
  </sheets>
  <definedNames>
    <definedName name="_xlnm._FilterDatabase" localSheetId="8" hidden="1">'2022_Operations Research and An'!$A$1:$AW$143</definedName>
    <definedName name="_xlcn.WorksheetConnection_Improved_Working_FullCopyMacro_DetailedAnalysis_2022_OperationsResearchandAnalyticstoCombatHumanTraffickingAReviewofAcademicLiterature_Dataversion1.xlsmDetailedTable1" hidden="1">DetailedTable[]</definedName>
    <definedName name="ExternalData_2" localSheetId="6" hidden="1">DetailedTable!$A$1:$O$1179</definedName>
    <definedName name="Slicer_4Ps">#N/A</definedName>
    <definedName name="Slicer_Category">#N/A</definedName>
    <definedName name="Slicer_Context">#N/A</definedName>
    <definedName name="Slicer_Data_Type">#N/A</definedName>
    <definedName name="Slicer_Demographics">#N/A</definedName>
    <definedName name="Slicer_Methods">#N/A</definedName>
    <definedName name="Slicer_PaperName">#N/A</definedName>
    <definedName name="Slicer_Region">#N/A</definedName>
    <definedName name="Slicer_Theme">#N/A</definedName>
    <definedName name="Slicer_Year_Published">#N/A</definedName>
  </definedNames>
  <calcPr calcId="191029"/>
  <pivotCaches>
    <pivotCache cacheId="0" r:id="rId11"/>
    <pivotCache cacheId="1" r:id="rId12"/>
    <pivotCache cacheId="2" r:id="rId13"/>
    <pivotCache cacheId="3" r:id="rId14"/>
    <pivotCache cacheId="4" r:id="rId15"/>
    <pivotCache cacheId="5" r:id="rId16"/>
    <pivotCache cacheId="6" r:id="rId17"/>
    <pivotCache cacheId="7" r:id="rId18"/>
    <pivotCache cacheId="8" r:id="rId19"/>
    <pivotCache cacheId="9" r:id="rId20"/>
    <pivotCache cacheId="10" r:id="rId21"/>
  </pivotCaches>
  <extLst>
    <ext xmlns:x14="http://schemas.microsoft.com/office/spreadsheetml/2009/9/main" uri="{876F7934-8845-4945-9796-88D515C7AA90}">
      <x14:pivotCaches>
        <pivotCache cacheId="11" r:id="rId22"/>
      </x14:pivotCaches>
    </ext>
    <ext xmlns:x14="http://schemas.microsoft.com/office/spreadsheetml/2009/9/main" uri="{BBE1A952-AA13-448e-AADC-164F8A28A991}">
      <x14:slicerCaches>
        <x14:slicerCache r:id="rId23"/>
        <x14:slicerCache r:id="rId24"/>
        <x14:slicerCache r:id="rId25"/>
        <x14:slicerCache r:id="rId26"/>
        <x14:slicerCache r:id="rId27"/>
        <x14:slicerCache r:id="rId28"/>
        <x14:slicerCache r:id="rId29"/>
        <x14:slicerCache r:id="rId30"/>
        <x14:slicerCache r:id="rId31"/>
        <x14:slicerCache r:id="rId3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DetailedTable_f61b9c45-274e-4294-91e0-516d17d6bb1d" name="DetailedTable" connection="Query - DetailedTable"/>
          <x15:modelTable id="DetailedTable 1" name="DetailedTable 1" connection="WorksheetConnection_Improved_Working_FullCopyMacro_DetailedAnalysis_2022_Operations Research and Analytics to Combat Human Trafficking A Review of Academic Literature_Data (version 1).xlsm!DetailedTable"/>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0" i="27" l="1"/>
  <c r="H10" i="27" s="1"/>
  <c r="G8" i="27"/>
  <c r="H8" i="27" s="1"/>
  <c r="G6" i="27"/>
  <c r="H6" i="27" s="1"/>
  <c r="G5" i="27"/>
  <c r="H5" i="27" s="1"/>
  <c r="G4" i="27"/>
  <c r="H4" i="27" s="1"/>
  <c r="G39" i="27"/>
  <c r="H39" i="27" s="1"/>
  <c r="G38" i="27"/>
  <c r="H38" i="27" s="1"/>
  <c r="G37" i="27"/>
  <c r="H37" i="27" s="1"/>
  <c r="G36" i="27"/>
  <c r="H36" i="27" s="1"/>
  <c r="G35" i="27"/>
  <c r="H35" i="27" s="1"/>
  <c r="G34" i="27"/>
  <c r="H34" i="27" s="1"/>
  <c r="G33" i="27"/>
  <c r="H33" i="27" s="1"/>
  <c r="G32" i="27"/>
  <c r="H32" i="27" s="1"/>
  <c r="G31" i="27"/>
  <c r="H31" i="27" s="1"/>
  <c r="G30" i="27"/>
  <c r="H30" i="27" s="1"/>
  <c r="G29" i="27"/>
  <c r="H29" i="27" s="1"/>
  <c r="G28" i="27"/>
  <c r="H28" i="27" s="1"/>
  <c r="G27" i="27"/>
  <c r="H27" i="27" s="1"/>
  <c r="G26" i="27"/>
  <c r="H26" i="27" s="1"/>
  <c r="G25" i="27"/>
  <c r="H25" i="27" s="1"/>
  <c r="G24" i="27"/>
  <c r="H24" i="27" s="1"/>
  <c r="G23" i="27"/>
  <c r="H23" i="27" s="1"/>
  <c r="G22" i="27"/>
  <c r="H22" i="27" s="1"/>
  <c r="G21" i="27"/>
  <c r="H21" i="27" s="1"/>
  <c r="G20" i="27"/>
  <c r="H20" i="27" s="1"/>
  <c r="G19" i="27"/>
  <c r="H19" i="27" s="1"/>
  <c r="G16" i="27"/>
  <c r="H16" i="27" s="1"/>
  <c r="G17" i="27"/>
  <c r="H17" i="27" s="1"/>
  <c r="G15" i="27"/>
  <c r="H15" i="27" s="1"/>
  <c r="G14" i="27"/>
  <c r="G13" i="27"/>
  <c r="H13" i="27" s="1"/>
  <c r="D8" i="27"/>
  <c r="E8" i="27" s="1"/>
  <c r="G11" i="27"/>
  <c r="H11" i="27" s="1"/>
  <c r="G9" i="27"/>
  <c r="H9" i="27" s="1"/>
  <c r="D4" i="27"/>
  <c r="E4" i="27" s="1"/>
  <c r="D39" i="27"/>
  <c r="E39" i="27" s="1"/>
  <c r="D38" i="27"/>
  <c r="E38" i="27" s="1"/>
  <c r="D37" i="27"/>
  <c r="E37" i="27" s="1"/>
  <c r="D36" i="27"/>
  <c r="E36" i="27" s="1"/>
  <c r="D35" i="27"/>
  <c r="E35" i="27" s="1"/>
  <c r="D34" i="27"/>
  <c r="E34" i="27" s="1"/>
  <c r="D33" i="27"/>
  <c r="E33" i="27" s="1"/>
  <c r="D32" i="27"/>
  <c r="E32" i="27" s="1"/>
  <c r="D31" i="27"/>
  <c r="E31" i="27" s="1"/>
  <c r="D30" i="27"/>
  <c r="E30" i="27" s="1"/>
  <c r="D29" i="27"/>
  <c r="E29" i="27" s="1"/>
  <c r="D28" i="27"/>
  <c r="E28" i="27" s="1"/>
  <c r="D26" i="27"/>
  <c r="E26" i="27" s="1"/>
  <c r="D25" i="27"/>
  <c r="E25" i="27" s="1"/>
  <c r="D24" i="27"/>
  <c r="E24" i="27" s="1"/>
  <c r="D23" i="27"/>
  <c r="E23" i="27" s="1"/>
  <c r="D22" i="27"/>
  <c r="E22" i="27" s="1"/>
  <c r="D21" i="27"/>
  <c r="E21" i="27" s="1"/>
  <c r="D19" i="27"/>
  <c r="E19" i="27" s="1"/>
  <c r="D18" i="27"/>
  <c r="E18" i="27" s="1"/>
  <c r="D17" i="27"/>
  <c r="E17" i="27" s="1"/>
  <c r="D16" i="27"/>
  <c r="E16" i="27" s="1"/>
  <c r="D15" i="27"/>
  <c r="E15" i="27" s="1"/>
  <c r="D14" i="27"/>
  <c r="E14" i="27" s="1"/>
  <c r="D13" i="27"/>
  <c r="E13" i="27" s="1"/>
  <c r="D11" i="27"/>
  <c r="E11" i="27" s="1"/>
  <c r="D10" i="27"/>
  <c r="E10" i="27" s="1"/>
  <c r="D9" i="27"/>
  <c r="E9" i="27" s="1"/>
  <c r="D6" i="27"/>
  <c r="E6" i="27" s="1"/>
  <c r="D5" i="27"/>
  <c r="E5" i="27" s="1"/>
  <c r="H14" i="2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4E34D9-C436-4D08-9525-A9C69EFC4823}" keepAlive="1" name="ModelConnection_ExternalData_2" description="Data Model" type="5" refreshedVersion="8" minRefreshableVersion="5" saveData="1">
    <dbPr connection="Data Model Connection" command="DetailedTable" commandType="3"/>
    <extLst>
      <ext xmlns:x15="http://schemas.microsoft.com/office/spreadsheetml/2010/11/main" uri="{DE250136-89BD-433C-8126-D09CA5730AF9}">
        <x15:connection id="" model="1"/>
      </ext>
    </extLst>
  </connection>
  <connection id="2" xr16:uid="{6FDB48AD-63BC-42AB-BA1A-159A28AAAADD}" name="Query - DetailedTable" description="Connection to the 'DetailedTable' query in the workbook." type="100" refreshedVersion="8" minRefreshableVersion="5">
    <extLst>
      <ext xmlns:x15="http://schemas.microsoft.com/office/spreadsheetml/2010/11/main" uri="{DE250136-89BD-433C-8126-D09CA5730AF9}">
        <x15:connection id="7b2ecb0a-d340-467e-9697-e8f1e702d619"/>
      </ext>
    </extLst>
  </connection>
  <connection id="3" xr16:uid="{4B9623B9-81E2-41CC-A398-AA69765B4EEF}"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4" xr16:uid="{C48E3CE8-A7EB-4442-9743-84B87E31A3AB}" name="WorksheetConnection_Improved_Working_FullCopyMacro_DetailedAnalysis_2022_Operations Research and Analytics to Combat Human Trafficking A Review of Academic Literature_Data (version 1).xlsm!DetailedTable" type="102" refreshedVersion="8" minRefreshableVersion="5">
    <extLst>
      <ext xmlns:x15="http://schemas.microsoft.com/office/spreadsheetml/2010/11/main" uri="{DE250136-89BD-433C-8126-D09CA5730AF9}">
        <x15:connection id="DetailedTable 1">
          <x15:rangePr sourceName="_xlcn.WorksheetConnection_Improved_Working_FullCopyMacro_DetailedAnalysis_2022_OperationsResearchandAnalyticstoCombatHumanTraffickingAReviewofAcademicLiterature_Dataversion1.xlsmDetailedTable1"/>
        </x15:connection>
      </ext>
    </extLst>
  </connection>
</connections>
</file>

<file path=xl/sharedStrings.xml><?xml version="1.0" encoding="utf-8"?>
<sst xmlns="http://schemas.openxmlformats.org/spreadsheetml/2006/main" count="11424" uniqueCount="282">
  <si>
    <t>PaperName</t>
  </si>
  <si>
    <t>Context</t>
  </si>
  <si>
    <t>Female</t>
  </si>
  <si>
    <t>Male</t>
  </si>
  <si>
    <t>Child/Underage</t>
  </si>
  <si>
    <t>LGBTQ+</t>
  </si>
  <si>
    <t>Unspecfied or All individuals</t>
  </si>
  <si>
    <t>North America</t>
  </si>
  <si>
    <t>South America</t>
  </si>
  <si>
    <t>Europe</t>
  </si>
  <si>
    <t>Asia</t>
  </si>
  <si>
    <t>Africa</t>
  </si>
  <si>
    <t>Australia/Oceania</t>
  </si>
  <si>
    <t>Unspecified/All regions</t>
  </si>
  <si>
    <t>Prevention</t>
  </si>
  <si>
    <t>Protection</t>
  </si>
  <si>
    <t>Prosection</t>
  </si>
  <si>
    <t>Partnership</t>
  </si>
  <si>
    <t>Data Type</t>
  </si>
  <si>
    <t>Network Flow</t>
  </si>
  <si>
    <t>Resource Alloction</t>
  </si>
  <si>
    <t>Supply Chain</t>
  </si>
  <si>
    <t>Decision Support</t>
  </si>
  <si>
    <t>Other / Unspecified</t>
  </si>
  <si>
    <t>Inferential Statistics / Detection</t>
  </si>
  <si>
    <t>Category</t>
  </si>
  <si>
    <t>Data Envelopment Analysis</t>
  </si>
  <si>
    <t>Network Interdiction</t>
  </si>
  <si>
    <t>Integer Programming</t>
  </si>
  <si>
    <t>Facility location</t>
  </si>
  <si>
    <t>Queuing Theory</t>
  </si>
  <si>
    <t>Simulation</t>
  </si>
  <si>
    <t>(Social) Network Analysis</t>
  </si>
  <si>
    <t>Empirical Analysis</t>
  </si>
  <si>
    <t>Active Learning</t>
  </si>
  <si>
    <t>Graph Construction</t>
  </si>
  <si>
    <t>Link Inference</t>
  </si>
  <si>
    <t>Machine / Deep Learning (General)</t>
  </si>
  <si>
    <t>Clustering or Classification</t>
  </si>
  <si>
    <t>Unsupervised or Minimally Supervised Learning</t>
  </si>
  <si>
    <t>Natural Language Processing</t>
  </si>
  <si>
    <t>Information Extraction</t>
  </si>
  <si>
    <t>Investigative Search</t>
  </si>
  <si>
    <t>Game Theory</t>
  </si>
  <si>
    <t>Other</t>
  </si>
  <si>
    <t>Network / Graph Theory</t>
  </si>
  <si>
    <t>Web Crawling / Scraping</t>
  </si>
  <si>
    <t>Year Published</t>
  </si>
  <si>
    <t>Acharjee et al. (2018)</t>
  </si>
  <si>
    <t>General</t>
  </si>
  <si>
    <t>Secondary (Publicly Available)</t>
  </si>
  <si>
    <t>Adam et al. (2021)</t>
  </si>
  <si>
    <t>N/A</t>
  </si>
  <si>
    <t>Akram and Zafar (2019)</t>
  </si>
  <si>
    <t>Ali et al. (2021)</t>
  </si>
  <si>
    <t>Alvari et al. (2016)</t>
  </si>
  <si>
    <t>Sex Trafficking</t>
  </si>
  <si>
    <t>Alvari et al. (2017)</t>
  </si>
  <si>
    <t>Amin (2010)</t>
  </si>
  <si>
    <t>Andrews et al. (2018)</t>
  </si>
  <si>
    <t>Ardakani (2020)</t>
  </si>
  <si>
    <t>Asif et al. (2021)</t>
  </si>
  <si>
    <t>Bhaumik et al. (2020)</t>
  </si>
  <si>
    <t>Binu et al. (2019)</t>
  </si>
  <si>
    <t>Borrelli and Caltagirone (2020)</t>
  </si>
  <si>
    <t>Boyd et al. (2021)</t>
  </si>
  <si>
    <t>Labor Trafficking</t>
  </si>
  <si>
    <t>Brelsford and Parakh (2018)</t>
  </si>
  <si>
    <t>Brewster, Ingle, et al. (2014)</t>
  </si>
  <si>
    <t>Brewster, Polovina, et al. (2014)</t>
  </si>
  <si>
    <t>Burbano et al. (2018)</t>
  </si>
  <si>
    <t>Caoli (2019)</t>
  </si>
  <si>
    <t>Caulkins et al. (2019)</t>
  </si>
  <si>
    <t>Chambers et al. (2019)</t>
  </si>
  <si>
    <t>Chen et al. (2015)</t>
  </si>
  <si>
    <t>Cockbain et al. (2011)</t>
  </si>
  <si>
    <t>Cockbain et al. (2019)</t>
  </si>
  <si>
    <t>Coxen (2021)</t>
  </si>
  <si>
    <t>da Silva Santos et al. (2019)</t>
  </si>
  <si>
    <t>Darabian and Borzooei (2018)</t>
  </si>
  <si>
    <t>de Vries and Radford (2021)</t>
  </si>
  <si>
    <t>Deeb-Swihart et al. (2019)</t>
  </si>
  <si>
    <t>Diaz and Panangadan (2020)</t>
  </si>
  <si>
    <t>Dimas et al. (2021)</t>
  </si>
  <si>
    <t>Diviák et al. (2021)</t>
  </si>
  <si>
    <t>Dubrawski et al. (2015)</t>
  </si>
  <si>
    <t>Edge et al. (2020)</t>
  </si>
  <si>
    <t>Esfahani et al. (2019)</t>
  </si>
  <si>
    <t>Gakiza et al. (2021)</t>
  </si>
  <si>
    <t>Gerry et al. (2021)</t>
  </si>
  <si>
    <t>Giacobe et al. (2016)</t>
  </si>
  <si>
    <t>Giommoni and Ikwu (2021)</t>
  </si>
  <si>
    <t>Goist et al. (2019)</t>
  </si>
  <si>
    <t>Granizo et al. (2020)</t>
  </si>
  <si>
    <t>Grimes et al. (2011)</t>
  </si>
  <si>
    <t>Harmon et al. (2020)</t>
  </si>
  <si>
    <t>Hernández-Álvarez (2019)</t>
  </si>
  <si>
    <t>Hultgren et al. (2018)</t>
  </si>
  <si>
    <t>Hundman et al. (2018)</t>
  </si>
  <si>
    <t>Ibanez and Gazan (2016)</t>
  </si>
  <si>
    <t>Ibanez and Suthers (2014)</t>
  </si>
  <si>
    <t>Ibanez and Suthers (2016)</t>
  </si>
  <si>
    <t>Imperial (2021)</t>
  </si>
  <si>
    <t>Kapoor et al. (2017)</t>
  </si>
  <si>
    <t>Kejriwal and Gu (2020)</t>
  </si>
  <si>
    <t>Kejriwal and Kapoor (2019)</t>
  </si>
  <si>
    <t>Kejriwal and Szekely (2017a)</t>
  </si>
  <si>
    <t>Kejriwal and Szekely (2017b)</t>
  </si>
  <si>
    <t>Kejriwal and Szekely (2017c)</t>
  </si>
  <si>
    <t>Kejriwal et al. (2017)</t>
  </si>
  <si>
    <t>Kejriwal et al. (2018)</t>
  </si>
  <si>
    <t>Kennedy (2012)</t>
  </si>
  <si>
    <t>Keskin et al. (2021)</t>
  </si>
  <si>
    <t>Khanal (2020)</t>
  </si>
  <si>
    <t>Kiss et al. (2021)</t>
  </si>
  <si>
    <t>Konrad (2019)</t>
  </si>
  <si>
    <t>Konrad et al (2021)</t>
  </si>
  <si>
    <t>Konrad et al. (2017)</t>
  </si>
  <si>
    <t>Kosmas et al. (2020)</t>
  </si>
  <si>
    <t>Kosmas et al. (2021)</t>
  </si>
  <si>
    <t>Kougkoulos et al. (2021)</t>
  </si>
  <si>
    <t>Kővári and Pruyt (2014)</t>
  </si>
  <si>
    <t>Kulshrestha (2021)</t>
  </si>
  <si>
    <t>Lavelle-Hill et al. (2021)</t>
  </si>
  <si>
    <t>LeBaron (2021)</t>
  </si>
  <si>
    <t>Lee et al. (2021)</t>
  </si>
  <si>
    <t>Li et al. (2018)</t>
  </si>
  <si>
    <t>Libaque-Saenz et al. (2018)</t>
  </si>
  <si>
    <t>Liu et al. (2019)</t>
  </si>
  <si>
    <t>Maass et al. (2020)</t>
  </si>
  <si>
    <t>Mahbub (2021)</t>
  </si>
  <si>
    <t>Mahdiraji et al. (2020)</t>
  </si>
  <si>
    <t>Malik et al. (2018)</t>
  </si>
  <si>
    <t>Mancuso (2014)</t>
  </si>
  <si>
    <t>Mathew and Mordeson (2017)</t>
  </si>
  <si>
    <t>Mathew, Mordeson and Yang (2019)</t>
  </si>
  <si>
    <t>McDonald et al. (2021)</t>
  </si>
  <si>
    <t>McKenzie (2019)</t>
  </si>
  <si>
    <t>Meier and Vitor (2021)</t>
  </si>
  <si>
    <t>Mensikova and Mattmann (2018)</t>
  </si>
  <si>
    <t>Mletzko et al. (2018)</t>
  </si>
  <si>
    <t>Mordeson and Mathew (2017a)</t>
  </si>
  <si>
    <t>Mordeson and Mathew (2017b)</t>
  </si>
  <si>
    <t>Mordeson and Mathew (2018)</t>
  </si>
  <si>
    <t>Mordeson and Mathew (2020a)</t>
  </si>
  <si>
    <t>Mordeson and Mathew (2020b)</t>
  </si>
  <si>
    <t>Mordeson et al. (2017)</t>
  </si>
  <si>
    <t>Mordeson et al. (2019)</t>
  </si>
  <si>
    <t>Mordeson, Mathew and Acharjee (2018)</t>
  </si>
  <si>
    <t>Mordeson, Mathew and Binu (2019)</t>
  </si>
  <si>
    <t>Mordeson, Mordeson and Mathew (2018)</t>
  </si>
  <si>
    <t>Mukherjee et al. (2021)</t>
  </si>
  <si>
    <t>Nagpal et al. (2015)</t>
  </si>
  <si>
    <t>Neely et al. (2019)</t>
  </si>
  <si>
    <t>Orantes (2018)</t>
  </si>
  <si>
    <t>Poelmans et al. (2012)</t>
  </si>
  <si>
    <t>Portnoff et al. (2017)</t>
  </si>
  <si>
    <t>Prashad et al. (2021)</t>
  </si>
  <si>
    <t>Price (2016)</t>
  </si>
  <si>
    <t>Progga et al. (2020)</t>
  </si>
  <si>
    <t>Rabbany et al. (2018)</t>
  </si>
  <si>
    <t>Ramchandani et al. (2021)</t>
  </si>
  <si>
    <t>Rodrigues et al. (2015)</t>
  </si>
  <si>
    <t>Sabon, Yang and Zhang (2021)</t>
  </si>
  <si>
    <t>Samanta et al. (2020)</t>
  </si>
  <si>
    <t>Sebastian et al. (2020)</t>
  </si>
  <si>
    <t>Senft et al. (2019)</t>
  </si>
  <si>
    <t>Sethi et al. (2013)</t>
  </si>
  <si>
    <t>Silva et al. (2014)</t>
  </si>
  <si>
    <t>Simonson (2021)</t>
  </si>
  <si>
    <t>Stapleton et al. (2012)</t>
  </si>
  <si>
    <t>Stylianou et al. (2017)</t>
  </si>
  <si>
    <t>Stylianou et al. (2019)</t>
  </si>
  <si>
    <t>Szakonyi et al. (2021)</t>
  </si>
  <si>
    <t>Szekely et al. (2015)</t>
  </si>
  <si>
    <t>Tahir et al. (2021)</t>
  </si>
  <si>
    <t>Tambe and Tambay (2020)</t>
  </si>
  <si>
    <t>Taylor (2018)</t>
  </si>
  <si>
    <t>Tezcan and Maass (2020)</t>
  </si>
  <si>
    <t>Thöni et al. (2018)</t>
  </si>
  <si>
    <t>Tong et al. (2017)</t>
  </si>
  <si>
    <t>Upadhayay et al. (2020)</t>
  </si>
  <si>
    <t>Vogt (2016)</t>
  </si>
  <si>
    <t>Wang et al. (2012)</t>
  </si>
  <si>
    <t>Wang et al. (2020)</t>
  </si>
  <si>
    <t>Weinberg et al. (2020)</t>
  </si>
  <si>
    <t>White, Guikema, and Carr (2021)</t>
  </si>
  <si>
    <t>Whitney (2017)</t>
  </si>
  <si>
    <t>Wiriyakun and Kurutach (2021a)</t>
  </si>
  <si>
    <t>Wiriyakun and Kurutach (2021b)</t>
  </si>
  <si>
    <t>Yang et al. (2018)</t>
  </si>
  <si>
    <t>Yao et al. (2021)</t>
  </si>
  <si>
    <t>Zhou et al. (2016)</t>
  </si>
  <si>
    <t>Zhu et al. (2019)</t>
  </si>
  <si>
    <t>Row Labels</t>
  </si>
  <si>
    <t>Grand Total</t>
  </si>
  <si>
    <t>Column Labels</t>
  </si>
  <si>
    <t>%</t>
  </si>
  <si>
    <t>4Ps</t>
  </si>
  <si>
    <t>\</t>
  </si>
  <si>
    <t>Li et al. (2021)</t>
  </si>
  <si>
    <t>Selected Item</t>
  </si>
  <si>
    <t>Unslected Item</t>
  </si>
  <si>
    <t>Data</t>
  </si>
  <si>
    <t>No Data</t>
  </si>
  <si>
    <t>Demographics</t>
  </si>
  <si>
    <t>Value</t>
  </si>
  <si>
    <t>Region</t>
  </si>
  <si>
    <t>Value.1</t>
  </si>
  <si>
    <t>Value.2</t>
  </si>
  <si>
    <t>Distinct Count of PaperName</t>
  </si>
  <si>
    <t>Theme</t>
  </si>
  <si>
    <t>Date</t>
  </si>
  <si>
    <t xml:space="preserve">Added category to methods title "N/A" to enable easier filtering for the Position/Thought pieces where this data was not specified. </t>
  </si>
  <si>
    <t>Added "Female" as the demographics for the study "Sabon, Yang and Zhang (2021)"</t>
  </si>
  <si>
    <t xml:space="preserve">Updated the filter tool to make it easier/possible to make an AND search on the filters. </t>
  </si>
  <si>
    <t xml:space="preserve">Updated Overview and Instructions mentioning the fact that under the new filter system if there are categories with no data present, then there is not button on the slicer. </t>
  </si>
  <si>
    <t>Methods: Queueing Theory</t>
  </si>
  <si>
    <t>Demographics: Male, LGBTQ+</t>
  </si>
  <si>
    <t xml:space="preserve">* Category values without any studies and not represented in the tool above. </t>
  </si>
  <si>
    <t>Value.3</t>
  </si>
  <si>
    <t>Value.4</t>
  </si>
  <si>
    <t>Methods</t>
  </si>
  <si>
    <t>Count</t>
  </si>
  <si>
    <t>% studies</t>
  </si>
  <si>
    <t>Total Papers : 142</t>
  </si>
  <si>
    <t>Trafficking Context (n=142 )</t>
  </si>
  <si>
    <t>% Total</t>
  </si>
  <si>
    <t>Category (n=142)</t>
  </si>
  <si>
    <t>Total Papers</t>
  </si>
  <si>
    <t>Operations Research</t>
  </si>
  <si>
    <t>Analytics</t>
  </si>
  <si>
    <t>Position / Thought</t>
  </si>
  <si>
    <t>4P's (n=261)</t>
  </si>
  <si>
    <t>Data Source (n=142)</t>
  </si>
  <si>
    <t>Primary</t>
  </si>
  <si>
    <t>Secondary</t>
  </si>
  <si>
    <t>Prosecution</t>
  </si>
  <si>
    <t>Mixed</t>
  </si>
  <si>
    <t>N / A</t>
  </si>
  <si>
    <t>Target Region (n=149)</t>
  </si>
  <si>
    <t>Australia / Oceania</t>
  </si>
  <si>
    <t>Child</t>
  </si>
  <si>
    <t>Unspecified / All individuals</t>
  </si>
  <si>
    <t>Methodologies (n=404)</t>
  </si>
  <si>
    <t>Unspecified / All regions</t>
  </si>
  <si>
    <t>Theoretical Approach (n=202)</t>
  </si>
  <si>
    <t>Network flow</t>
  </si>
  <si>
    <t>Facility Location</t>
  </si>
  <si>
    <t>Resource Allocation</t>
  </si>
  <si>
    <t>Publication Year (n=142)</t>
  </si>
  <si>
    <t>Queueing Theory</t>
  </si>
  <si>
    <t>Notes Related to Updates</t>
  </si>
  <si>
    <t>[ 1 ] Dimas, G. L., Konrad, R. A., Maass, K. L., &amp; Trapp, A. C. (2022). A Survey of Operations Research and Analytics Literature Related to Anti-Human Trafficking.</t>
  </si>
  <si>
    <t>Name of Tab</t>
  </si>
  <si>
    <t>Function/Purpose</t>
  </si>
  <si>
    <t>Dashboard</t>
  </si>
  <si>
    <t>Figure 4</t>
  </si>
  <si>
    <t>2022_Operations Research and..</t>
  </si>
  <si>
    <t>Tool Updates</t>
  </si>
  <si>
    <t>This tab lists the updated made to the tool and the date these updates took effect.</t>
  </si>
  <si>
    <t>Tool Instructions / Helpful Tips</t>
  </si>
  <si>
    <t xml:space="preserve">At the current time if a feature value (ex. Male demographic) is not observed in our data, that value does not appear on the Dashboard as a feature to filter on. </t>
  </si>
  <si>
    <t>Limitation(s) of current tool:</t>
  </si>
  <si>
    <t>Meaning of colors and formatting</t>
  </si>
  <si>
    <t>Filter/Slicer Examples and Meaning</t>
  </si>
  <si>
    <t xml:space="preserve">The data and dashboard tool within this excel is built off the work in [1]. Basic instructions about how to use the tool and what is contained within this file are listed below. </t>
  </si>
  <si>
    <t>The filtration tool based on data within the 2022_Operations Research and.. Tab</t>
  </si>
  <si>
    <t>Figure 4 as seen in [ 1 ]. This is updated to reflect the current data in the 2022_Operations Research and.. tab.</t>
  </si>
  <si>
    <t>This contains the data on each study included in our review and is what is used for Figure 4 and the Dashboard tool. To allow for the functionality under the Dashboard tool, we store this data in a data model and is "unpivoted" under all binary features.</t>
  </si>
  <si>
    <t>When the checklist type logo in the upper right corner of each filter is highlighted these means, multiple items can be selected/unselected. If this is not grayed out, then the filter only allows one value to be selected under the category. To enable or disable click on the icon and if yellow, the multi-selection function is enables and if gray, single selection is enabled.</t>
  </si>
  <si>
    <t>If a filter is applied, the funnel icon will be illuminated (else it is gray). To clear a particular filter, click the filter icon. If you wish to clear all applied filters and reset to the default settings click the "Clear All Selected Filters" button.</t>
  </si>
  <si>
    <t>Unselected Item with data available</t>
  </si>
  <si>
    <t>Unselected Item with no data available</t>
  </si>
  <si>
    <t>Selected Item with data available</t>
  </si>
  <si>
    <t>Selected Item with no data available</t>
  </si>
  <si>
    <t>When a level value is blue under a feature, this means these level values are selected and all papers with that level value are listed. In the example on the left all papers are displayed that have the trafficking context of: General, Labor and or Sex. If a level value is gray this means that the level value is not selected and as seen in the example on the left only studies that are categorized as General trafficking contexts are displayed.</t>
  </si>
  <si>
    <t>The example on the left shows the feature Context and it's three feature level values (General Trafficking and Labor Trafficking) are all selected. However, we see that while Labor trafficking is blue, it has a strikethrough indicating that although this level value is enabled, there exists no data given the current filters that has this level value. In addition, we see that the Sex trafficking context is both gray and has a strikethrough. The gray indicates this filter is not selected, and the strikethrough indicates that even if it was to be selected (turned blue) no data exists for it.  As we see in the middle figure, General context is gray and does not have a strikethrough which indicates that although it is not currently selected there exists data that relates to this level value under the current combination of filters. The figure on the left shows that all the level values are selected (in blue), however, given the current combinations of filters only papers related to the General trafficking context are available.</t>
  </si>
  <si>
    <t>Added Figure 4 into this excel and the orginal file for easier access/to reflect any updates to new/revised works.</t>
  </si>
  <si>
    <t>Updated the Data Source level of Both/Unspecified to be Mixed to reflect final manuscript version (both in this file and the orginal).</t>
  </si>
  <si>
    <t>Updated Cateogry levels to better reflect naming used in manuscript (both in this file and the orginal).</t>
  </si>
  <si>
    <t>Demographics (n=147)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</si>
</sst>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4"/>
      <color rgb="FF000000"/>
      <name val="Calibri"/>
      <family val="2"/>
    </font>
    <font>
      <b/>
      <sz val="12"/>
      <color theme="1"/>
      <name val="Calibri Light"/>
      <family val="2"/>
      <scheme val="major"/>
    </font>
    <font>
      <sz val="18"/>
      <color theme="1"/>
      <name val="Calibri"/>
      <family val="2"/>
      <scheme val="minor"/>
    </font>
    <font>
      <b/>
      <u/>
      <sz val="18"/>
      <color theme="1"/>
      <name val="Calibri"/>
      <family val="2"/>
      <scheme val="minor"/>
    </font>
    <font>
      <b/>
      <u/>
      <sz val="11"/>
      <color theme="1"/>
      <name val="Calibri"/>
      <family val="2"/>
      <scheme val="minor"/>
    </font>
    <font>
      <b/>
      <sz val="20"/>
      <color theme="1"/>
      <name val="Calibri"/>
      <family val="2"/>
      <scheme val="minor"/>
    </font>
    <font>
      <sz val="12"/>
      <color theme="1"/>
      <name val="Calibri Light"/>
      <family val="2"/>
      <scheme val="major"/>
    </font>
    <font>
      <sz val="8"/>
      <color theme="1"/>
      <name val="Calibri"/>
      <family val="2"/>
      <scheme val="minor"/>
    </font>
    <font>
      <sz val="10"/>
      <color theme="1"/>
      <name val="Calibri Light"/>
      <family val="2"/>
      <scheme val="major"/>
    </font>
    <font>
      <i/>
      <sz val="11"/>
      <color theme="1"/>
      <name val="Calibri"/>
      <family val="2"/>
      <scheme val="minor"/>
    </font>
    <font>
      <sz val="16"/>
      <color theme="1"/>
      <name val="Calibri"/>
      <family val="2"/>
      <scheme val="minor"/>
    </font>
    <font>
      <sz val="20"/>
      <color theme="1"/>
      <name val="Calibri"/>
      <family val="2"/>
      <scheme val="minor"/>
    </font>
    <font>
      <b/>
      <sz val="14"/>
      <color theme="1"/>
      <name val="Calibri"/>
      <family val="2"/>
      <scheme val="minor"/>
    </font>
    <font>
      <b/>
      <sz val="18"/>
      <color theme="1"/>
      <name val="Calibri"/>
      <family val="2"/>
      <scheme val="minor"/>
    </font>
    <font>
      <strike/>
      <sz val="18"/>
      <name val="Calibri"/>
      <family val="2"/>
      <scheme val="minor"/>
    </font>
  </fonts>
  <fills count="4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
      <patternFill patternType="solid">
        <fgColor theme="8"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4"/>
        <bgColor indexed="64"/>
      </patternFill>
    </fill>
    <fill>
      <patternFill patternType="solid">
        <fgColor theme="2" tint="-9.9978637043366805E-2"/>
        <bgColor indexed="64"/>
      </patternFill>
    </fill>
    <fill>
      <patternFill patternType="solid">
        <fgColor theme="5" tint="0.79998168889431442"/>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1">
    <xf numFmtId="0" fontId="0" fillId="0" borderId="0" xfId="0"/>
    <xf numFmtId="0" fontId="0" fillId="0" borderId="0" xfId="0" applyFill="1"/>
    <xf numFmtId="0" fontId="0" fillId="0" borderId="0" xfId="0" applyNumberFormat="1"/>
    <xf numFmtId="0" fontId="0" fillId="0" borderId="0" xfId="0" pivotButton="1"/>
    <xf numFmtId="0" fontId="0" fillId="0" borderId="0" xfId="0" applyAlignment="1">
      <alignment horizontal="left"/>
    </xf>
    <xf numFmtId="0" fontId="0" fillId="33" borderId="0" xfId="0" applyFill="1"/>
    <xf numFmtId="0" fontId="0" fillId="35" borderId="0" xfId="0" applyFill="1"/>
    <xf numFmtId="0" fontId="0" fillId="35" borderId="0" xfId="0" applyFill="1" applyProtection="1"/>
    <xf numFmtId="0" fontId="0" fillId="33" borderId="0" xfId="0" applyFill="1" applyProtection="1"/>
    <xf numFmtId="0" fontId="0" fillId="35" borderId="0" xfId="0" applyFill="1" applyAlignment="1"/>
    <xf numFmtId="0" fontId="0" fillId="35" borderId="0" xfId="0" applyFill="1" applyBorder="1"/>
    <xf numFmtId="0" fontId="0" fillId="0" borderId="0" xfId="0" applyAlignment="1">
      <alignment horizontal="center" vertical="center"/>
    </xf>
    <xf numFmtId="0" fontId="20" fillId="33" borderId="0" xfId="0" applyFont="1" applyFill="1"/>
    <xf numFmtId="0" fontId="21" fillId="33" borderId="0" xfId="0" applyFont="1" applyFill="1"/>
    <xf numFmtId="0" fontId="22" fillId="33" borderId="0" xfId="0" applyFont="1" applyFill="1"/>
    <xf numFmtId="10" fontId="0" fillId="0" borderId="0" xfId="0" applyNumberFormat="1" applyAlignment="1">
      <alignment horizontal="center" vertical="center"/>
    </xf>
    <xf numFmtId="0" fontId="24" fillId="0" borderId="0" xfId="0" applyFont="1"/>
    <xf numFmtId="0" fontId="16" fillId="39" borderId="16" xfId="0" applyFont="1" applyFill="1" applyBorder="1" applyAlignment="1">
      <alignment horizontal="left" vertical="center"/>
    </xf>
    <xf numFmtId="10" fontId="16" fillId="39" borderId="16" xfId="0" applyNumberFormat="1" applyFont="1" applyFill="1" applyBorder="1" applyAlignment="1">
      <alignment horizontal="left" vertical="center"/>
    </xf>
    <xf numFmtId="0" fontId="19" fillId="39" borderId="0" xfId="0" applyFont="1" applyFill="1" applyAlignment="1">
      <alignment horizontal="center"/>
    </xf>
    <xf numFmtId="0" fontId="0" fillId="0" borderId="18" xfId="0" applyBorder="1" applyAlignment="1">
      <alignment horizontal="left" vertical="center"/>
    </xf>
    <xf numFmtId="164" fontId="0" fillId="0" borderId="18" xfId="0" applyNumberFormat="1" applyBorder="1" applyAlignment="1">
      <alignment horizontal="left" vertical="center"/>
    </xf>
    <xf numFmtId="0" fontId="19" fillId="0" borderId="0" xfId="0" applyFont="1" applyAlignment="1">
      <alignment horizontal="center"/>
    </xf>
    <xf numFmtId="0" fontId="16" fillId="39" borderId="18" xfId="0" applyFont="1" applyFill="1" applyBorder="1" applyAlignment="1">
      <alignment horizontal="left" vertical="center"/>
    </xf>
    <xf numFmtId="164" fontId="16" fillId="39" borderId="18" xfId="0" applyNumberFormat="1" applyFont="1" applyFill="1" applyBorder="1" applyAlignment="1">
      <alignment horizontal="left" vertical="center"/>
    </xf>
    <xf numFmtId="0" fontId="24" fillId="0" borderId="0" xfId="0" applyFont="1" applyAlignment="1">
      <alignment horizontal="center" vertical="center"/>
    </xf>
    <xf numFmtId="0" fontId="0" fillId="0" borderId="19" xfId="0" applyBorder="1" applyAlignment="1">
      <alignment horizontal="left" vertical="center"/>
    </xf>
    <xf numFmtId="164" fontId="0" fillId="0" borderId="19" xfId="0" applyNumberFormat="1" applyBorder="1" applyAlignment="1">
      <alignment horizontal="left" vertical="center"/>
    </xf>
    <xf numFmtId="0" fontId="25" fillId="0" borderId="0" xfId="0" applyFont="1" applyAlignment="1">
      <alignment horizontal="left" vertical="top"/>
    </xf>
    <xf numFmtId="0" fontId="26" fillId="34" borderId="0" xfId="0" applyFont="1" applyFill="1" applyAlignment="1">
      <alignment horizontal="right" vertical="top"/>
    </xf>
    <xf numFmtId="0" fontId="24" fillId="34" borderId="0" xfId="0" applyFont="1" applyFill="1" applyAlignment="1">
      <alignment horizontal="center"/>
    </xf>
    <xf numFmtId="0" fontId="24" fillId="34" borderId="0" xfId="0" applyFont="1" applyFill="1"/>
    <xf numFmtId="0" fontId="24" fillId="34" borderId="0" xfId="0" applyFont="1" applyFill="1" applyAlignment="1">
      <alignment vertical="center"/>
    </xf>
    <xf numFmtId="0" fontId="24" fillId="0" borderId="0" xfId="0" applyFont="1" applyAlignment="1">
      <alignment vertical="center"/>
    </xf>
    <xf numFmtId="10" fontId="24" fillId="0" borderId="0" xfId="0" applyNumberFormat="1" applyFont="1" applyAlignment="1">
      <alignment horizontal="center" vertical="center"/>
    </xf>
    <xf numFmtId="0" fontId="24" fillId="0" borderId="17" xfId="0" applyFont="1" applyBorder="1" applyAlignment="1">
      <alignment horizontal="center" vertical="center"/>
    </xf>
    <xf numFmtId="10" fontId="24" fillId="0" borderId="18" xfId="0" applyNumberFormat="1" applyFont="1" applyBorder="1" applyAlignment="1">
      <alignment horizontal="center" vertical="center"/>
    </xf>
    <xf numFmtId="0" fontId="24" fillId="0" borderId="20" xfId="0" applyFont="1" applyBorder="1" applyAlignment="1">
      <alignment horizontal="center" vertical="center"/>
    </xf>
    <xf numFmtId="0" fontId="0" fillId="0" borderId="18" xfId="0" applyFill="1" applyBorder="1" applyAlignment="1">
      <alignment horizontal="left" vertical="center"/>
    </xf>
    <xf numFmtId="0" fontId="0" fillId="0" borderId="19" xfId="0" applyFill="1" applyBorder="1" applyAlignment="1">
      <alignment horizontal="left" vertical="center"/>
    </xf>
    <xf numFmtId="0" fontId="0" fillId="0" borderId="18" xfId="0" applyFill="1" applyBorder="1" applyAlignment="1">
      <alignment horizontal="left" vertical="center" wrapText="1"/>
    </xf>
    <xf numFmtId="0" fontId="0" fillId="33" borderId="0" xfId="0" applyFill="1" applyAlignment="1">
      <alignment vertical="center" wrapText="1"/>
    </xf>
    <xf numFmtId="0" fontId="0" fillId="33" borderId="0" xfId="0" applyFill="1" applyAlignment="1">
      <alignment horizontal="center" vertical="center" wrapText="1"/>
    </xf>
    <xf numFmtId="0" fontId="20" fillId="0" borderId="10" xfId="0" applyFont="1" applyBorder="1" applyAlignment="1">
      <alignment horizontal="center" vertical="center" wrapText="1"/>
    </xf>
    <xf numFmtId="0" fontId="20" fillId="0" borderId="0" xfId="0" applyFont="1" applyBorder="1"/>
    <xf numFmtId="0" fontId="31" fillId="0" borderId="0" xfId="0" applyFont="1" applyBorder="1" applyAlignment="1">
      <alignment horizontal="center" vertical="center"/>
    </xf>
    <xf numFmtId="0" fontId="20" fillId="37" borderId="0" xfId="0" applyFont="1" applyFill="1" applyBorder="1" applyAlignment="1">
      <alignment wrapText="1"/>
    </xf>
    <xf numFmtId="0" fontId="20" fillId="36" borderId="0" xfId="0" applyFont="1" applyFill="1" applyBorder="1" applyAlignment="1">
      <alignment wrapText="1"/>
    </xf>
    <xf numFmtId="0" fontId="31" fillId="0" borderId="15" xfId="0" applyFont="1" applyBorder="1" applyAlignment="1">
      <alignment horizontal="center" vertical="center"/>
    </xf>
    <xf numFmtId="0" fontId="32" fillId="33" borderId="15" xfId="0" applyFont="1" applyFill="1" applyBorder="1" applyAlignment="1">
      <alignment wrapText="1"/>
    </xf>
    <xf numFmtId="0" fontId="32" fillId="38" borderId="15" xfId="0" applyFont="1" applyFill="1" applyBorder="1" applyAlignment="1">
      <alignment wrapText="1"/>
    </xf>
    <xf numFmtId="0" fontId="23" fillId="40" borderId="10" xfId="0" applyFont="1" applyFill="1" applyBorder="1" applyAlignment="1">
      <alignment horizontal="center" vertical="center" wrapText="1"/>
    </xf>
    <xf numFmtId="0" fontId="30" fillId="33" borderId="0" xfId="0" applyFont="1" applyFill="1" applyAlignment="1">
      <alignment horizontal="center" vertical="center"/>
    </xf>
    <xf numFmtId="0" fontId="0" fillId="0" borderId="24" xfId="0" applyBorder="1" applyAlignment="1">
      <alignment horizontal="center"/>
    </xf>
    <xf numFmtId="0" fontId="0" fillId="0" borderId="14"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1" xfId="0" applyBorder="1" applyAlignment="1">
      <alignment horizontal="center" vertical="top" wrapText="1"/>
    </xf>
    <xf numFmtId="0" fontId="0" fillId="0" borderId="22" xfId="0" applyBorder="1" applyAlignment="1">
      <alignment horizontal="center" vertical="top" wrapText="1"/>
    </xf>
    <xf numFmtId="0" fontId="0" fillId="0" borderId="23" xfId="0" applyBorder="1" applyAlignment="1">
      <alignment horizontal="center" vertical="top" wrapText="1"/>
    </xf>
    <xf numFmtId="0" fontId="0" fillId="0" borderId="24" xfId="0" applyBorder="1" applyAlignment="1">
      <alignment horizontal="center" vertical="top" wrapText="1"/>
    </xf>
    <xf numFmtId="0" fontId="0" fillId="0" borderId="0" xfId="0" applyBorder="1" applyAlignment="1">
      <alignment horizontal="center" vertical="top" wrapText="1"/>
    </xf>
    <xf numFmtId="0" fontId="0" fillId="0" borderId="25" xfId="0" applyBorder="1" applyAlignment="1">
      <alignment horizontal="center" vertical="top" wrapText="1"/>
    </xf>
    <xf numFmtId="0" fontId="0" fillId="0" borderId="14" xfId="0" applyBorder="1" applyAlignment="1">
      <alignment horizontal="center" vertical="top" wrapText="1"/>
    </xf>
    <xf numFmtId="0" fontId="0" fillId="0" borderId="15" xfId="0" applyBorder="1" applyAlignment="1">
      <alignment horizontal="center" vertical="top" wrapText="1"/>
    </xf>
    <xf numFmtId="0" fontId="0" fillId="0" borderId="26" xfId="0" applyBorder="1" applyAlignment="1">
      <alignment horizontal="center" vertical="top" wrapText="1"/>
    </xf>
    <xf numFmtId="0" fontId="20" fillId="0" borderId="21" xfId="0" applyFont="1" applyBorder="1" applyAlignment="1">
      <alignment horizontal="center" vertical="center" wrapText="1"/>
    </xf>
    <xf numFmtId="0" fontId="20" fillId="0" borderId="22" xfId="0" applyFont="1" applyBorder="1" applyAlignment="1">
      <alignment horizontal="center" vertical="center" wrapText="1"/>
    </xf>
    <xf numFmtId="0" fontId="20" fillId="0" borderId="23" xfId="0" applyFont="1" applyBorder="1" applyAlignment="1">
      <alignment horizontal="center" vertical="center" wrapText="1"/>
    </xf>
    <xf numFmtId="0" fontId="20" fillId="0" borderId="24" xfId="0" applyFont="1" applyBorder="1" applyAlignment="1">
      <alignment horizontal="center" vertical="center" wrapText="1"/>
    </xf>
    <xf numFmtId="0" fontId="20" fillId="0" borderId="0" xfId="0" applyFont="1" applyBorder="1" applyAlignment="1">
      <alignment horizontal="center" vertical="center" wrapText="1"/>
    </xf>
    <xf numFmtId="0" fontId="20" fillId="0" borderId="25" xfId="0" applyFont="1" applyBorder="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center" vertical="center" wrapText="1"/>
    </xf>
    <xf numFmtId="0" fontId="20" fillId="0" borderId="26" xfId="0" applyFont="1" applyBorder="1" applyAlignment="1">
      <alignment horizontal="center" vertical="center" wrapText="1"/>
    </xf>
    <xf numFmtId="0" fontId="27" fillId="0" borderId="21" xfId="0" applyFont="1" applyBorder="1" applyAlignment="1">
      <alignment horizontal="center" vertical="center" wrapText="1"/>
    </xf>
    <xf numFmtId="0" fontId="27" fillId="0" borderId="22" xfId="0" applyFont="1" applyBorder="1" applyAlignment="1">
      <alignment horizontal="center" vertical="center" wrapText="1"/>
    </xf>
    <xf numFmtId="0" fontId="27" fillId="0" borderId="23" xfId="0" applyFont="1" applyBorder="1" applyAlignment="1">
      <alignment horizontal="center" vertical="center" wrapText="1"/>
    </xf>
    <xf numFmtId="0" fontId="27" fillId="0" borderId="14" xfId="0" applyFont="1" applyBorder="1" applyAlignment="1">
      <alignment horizontal="center" vertical="center" wrapText="1"/>
    </xf>
    <xf numFmtId="0" fontId="27" fillId="0" borderId="15" xfId="0" applyFont="1" applyBorder="1" applyAlignment="1">
      <alignment horizontal="center" vertical="center" wrapText="1"/>
    </xf>
    <xf numFmtId="0" fontId="27" fillId="0" borderId="26" xfId="0" applyFont="1" applyBorder="1" applyAlignment="1">
      <alignment horizontal="center" vertical="center" wrapText="1"/>
    </xf>
    <xf numFmtId="0" fontId="0" fillId="0" borderId="21" xfId="0" applyFont="1" applyBorder="1" applyAlignment="1">
      <alignment horizontal="center" vertical="top" wrapText="1"/>
    </xf>
    <xf numFmtId="0" fontId="20" fillId="0" borderId="11" xfId="0" applyFont="1" applyBorder="1" applyAlignment="1">
      <alignment horizontal="center" vertical="center" wrapText="1"/>
    </xf>
    <xf numFmtId="0" fontId="20" fillId="0" borderId="12" xfId="0" applyFont="1" applyBorder="1" applyAlignment="1">
      <alignment horizontal="center" vertical="center" wrapText="1"/>
    </xf>
    <xf numFmtId="0" fontId="20" fillId="0" borderId="13" xfId="0" applyFont="1" applyBorder="1" applyAlignment="1">
      <alignment horizontal="center" vertical="center" wrapText="1"/>
    </xf>
    <xf numFmtId="0" fontId="23" fillId="40" borderId="11" xfId="0" applyFont="1" applyFill="1" applyBorder="1" applyAlignment="1">
      <alignment horizontal="center" vertical="center" wrapText="1"/>
    </xf>
    <xf numFmtId="0" fontId="23" fillId="40" borderId="12" xfId="0" applyFont="1" applyFill="1" applyBorder="1" applyAlignment="1">
      <alignment horizontal="center" vertical="center" wrapText="1"/>
    </xf>
    <xf numFmtId="0" fontId="23" fillId="40" borderId="13" xfId="0" applyFont="1" applyFill="1" applyBorder="1" applyAlignment="1">
      <alignment horizontal="center" vertical="center" wrapText="1"/>
    </xf>
    <xf numFmtId="0" fontId="23" fillId="41" borderId="21" xfId="0" applyFont="1" applyFill="1" applyBorder="1" applyAlignment="1">
      <alignment horizontal="center" vertical="center"/>
    </xf>
    <xf numFmtId="0" fontId="23" fillId="41" borderId="22" xfId="0" applyFont="1" applyFill="1" applyBorder="1" applyAlignment="1">
      <alignment horizontal="center" vertical="center"/>
    </xf>
    <xf numFmtId="0" fontId="23" fillId="41" borderId="23" xfId="0" applyFont="1" applyFill="1" applyBorder="1" applyAlignment="1">
      <alignment horizontal="center" vertical="center"/>
    </xf>
    <xf numFmtId="0" fontId="23" fillId="41" borderId="14" xfId="0" applyFont="1" applyFill="1" applyBorder="1" applyAlignment="1">
      <alignment horizontal="center" vertical="center"/>
    </xf>
    <xf numFmtId="0" fontId="23" fillId="41" borderId="15" xfId="0" applyFont="1" applyFill="1" applyBorder="1" applyAlignment="1">
      <alignment horizontal="center" vertical="center"/>
    </xf>
    <xf numFmtId="0" fontId="23" fillId="41" borderId="26" xfId="0" applyFont="1" applyFill="1" applyBorder="1" applyAlignment="1">
      <alignment horizontal="center" vertical="center"/>
    </xf>
    <xf numFmtId="0" fontId="23" fillId="41" borderId="11" xfId="0" applyFont="1" applyFill="1" applyBorder="1" applyAlignment="1">
      <alignment horizontal="center" vertical="center" wrapText="1"/>
    </xf>
    <xf numFmtId="0" fontId="29" fillId="41" borderId="12" xfId="0" applyFont="1" applyFill="1" applyBorder="1" applyAlignment="1">
      <alignment horizontal="center" vertical="center" wrapText="1"/>
    </xf>
    <xf numFmtId="0" fontId="29" fillId="41" borderId="13"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0" borderId="2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0" borderId="26" xfId="0" applyFont="1" applyFill="1" applyBorder="1" applyAlignment="1">
      <alignment horizontal="center" vertical="center" wrapText="1"/>
    </xf>
    <xf numFmtId="0" fontId="28" fillId="0" borderId="27" xfId="0" applyFont="1" applyBorder="1" applyAlignment="1">
      <alignment horizontal="center" vertical="center" wrapText="1"/>
    </xf>
    <xf numFmtId="0" fontId="28" fillId="0" borderId="28" xfId="0" applyFont="1" applyBorder="1" applyAlignment="1">
      <alignment horizontal="center" vertical="center" wrapText="1"/>
    </xf>
    <xf numFmtId="0" fontId="23" fillId="41" borderId="24" xfId="0" applyFont="1" applyFill="1" applyBorder="1" applyAlignment="1">
      <alignment horizontal="center" vertical="center"/>
    </xf>
    <xf numFmtId="0" fontId="23" fillId="41" borderId="0" xfId="0" applyFont="1" applyFill="1" applyBorder="1" applyAlignment="1">
      <alignment horizontal="center" vertical="center"/>
    </xf>
    <xf numFmtId="0" fontId="23" fillId="41" borderId="25" xfId="0" applyFont="1" applyFill="1" applyBorder="1" applyAlignment="1">
      <alignment horizontal="center" vertical="center"/>
    </xf>
    <xf numFmtId="0" fontId="23" fillId="0" borderId="0" xfId="0" applyFont="1" applyAlignment="1">
      <alignment horizontal="center" vertical="center"/>
    </xf>
    <xf numFmtId="0" fontId="0" fillId="34" borderId="0" xfId="0" applyFill="1" applyAlignment="1">
      <alignment horizontal="center"/>
    </xf>
    <xf numFmtId="0" fontId="0" fillId="0" borderId="17" xfId="0" applyBorder="1" applyAlignment="1">
      <alignment horizontal="center"/>
    </xf>
    <xf numFmtId="0" fontId="0" fillId="0" borderId="0" xfId="0" applyAlignment="1">
      <alignment horizontal="center"/>
    </xf>
    <xf numFmtId="14" fontId="0" fillId="0" borderId="0" xfId="0" applyNumberFormat="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4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numFmt numFmtId="14" formatCode="0.00%"/>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font>
        <b/>
        <color theme="1"/>
      </font>
      <border>
        <bottom style="thin">
          <color theme="8"/>
        </bottom>
        <vertical/>
        <horizontal/>
      </border>
    </dxf>
    <dxf>
      <font>
        <color theme="1"/>
      </font>
      <border>
        <left style="thin">
          <color theme="8"/>
        </left>
        <right style="thin">
          <color theme="8"/>
        </right>
        <top style="thin">
          <color theme="8"/>
        </top>
        <bottom style="thin">
          <color theme="8"/>
        </bottom>
        <vertical/>
        <horizontal/>
      </border>
    </dxf>
    <dxf>
      <font>
        <b/>
        <i val="0"/>
        <sz val="12"/>
        <color theme="1"/>
        <name val="Calibri Light"/>
        <family val="2"/>
        <scheme val="major"/>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6" defaultTableStyle="TableStyleMedium2" defaultPivotStyle="PivotStyleLight16">
    <tableStyle name="Slicer Style 1" pivot="0" table="0" count="0" xr9:uid="{6803B874-32DF-4038-BC02-078B1EBC4914}"/>
    <tableStyle name="Slicer Style 2" pivot="0" table="0" count="2" xr9:uid="{240CAFA5-0959-42BB-9A33-46F32D40F813}"/>
    <tableStyle name="Slicer Style 3" pivot="0" table="0" count="1" xr9:uid="{918C99F5-C880-4CCC-97BB-0FB9A654C46E}"/>
    <tableStyle name="Slicer Style 4" pivot="0" table="0" count="1" xr9:uid="{2CD94779-1B07-45DC-A3B9-8973B3E5351E}"/>
    <tableStyle name="SlicerStyleLight1 2" pivot="0" table="0" count="10" xr9:uid="{D15ED772-4602-40BD-AAD3-476948EACF80}">
      <tableStyleElement type="wholeTable" dxfId="46"/>
      <tableStyleElement type="headerRow" dxfId="45"/>
    </tableStyle>
    <tableStyle name="SlicerStyleLight5 2" pivot="0" table="0" count="10" xr9:uid="{EB0292DB-DB46-4004-B90F-44739B7F6D00}">
      <tableStyleElement type="wholeTable" dxfId="44"/>
      <tableStyleElement type="headerRow" dxfId="43"/>
    </tableStyle>
  </tableStyles>
  <extLst>
    <ext xmlns:x14="http://schemas.microsoft.com/office/spreadsheetml/2009/9/main" uri="{46F421CA-312F-682f-3DD2-61675219B42D}">
      <x14:dxfs count="20">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4"/>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8" tint="0.59999389629810485"/>
              <bgColor theme="8"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4" tint="0.79998168889431442"/>
              <bgColor theme="4" tint="0.79995117038483843"/>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strike/>
            <color theme="1"/>
          </font>
          <fill>
            <patternFill patternType="solid">
              <fgColor theme="2"/>
              <bgColor theme="2"/>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patternFill>
          </fill>
          <border>
            <left style="thin">
              <color rgb="FFCCCCCC"/>
            </left>
            <right style="thin">
              <color rgb="FFCCCCCC"/>
            </right>
            <top style="thin">
              <color rgb="FFCCCCCC"/>
            </top>
            <bottom style="thin">
              <color rgb="FFCCCCCC"/>
            </bottom>
            <vertical/>
            <horizontal/>
          </border>
        </dxf>
        <dxf>
          <fill>
            <patternFill>
              <bgColor theme="9"/>
            </patternFill>
          </fill>
        </dxf>
        <dxf>
          <fill>
            <patternFill>
              <bgColor theme="9"/>
            </patternFill>
          </fill>
        </dxf>
        <dxf>
          <fill>
            <patternFill>
              <bgColor theme="9" tint="0.79998168889431442"/>
            </patternFill>
          </fill>
        </dxf>
        <dxf>
          <fill>
            <patternFill>
              <bgColor theme="0" tint="-0.34998626667073579"/>
            </patternFill>
          </fill>
        </dxf>
      </x14:dxfs>
    </ext>
    <ext xmlns:x14="http://schemas.microsoft.com/office/spreadsheetml/2009/9/main" uri="{EB79DEF2-80B8-43e5-95BD-54CBDDF9020C}">
      <x14:slicerStyles defaultSlicerStyle="SlicerStyleLight1 2">
        <x14:slicerStyle name="Slicer Style 1"/>
        <x14:slicerStyle name="Slicer Style 2">
          <x14:slicerStyleElements>
            <x14:slicerStyleElement type="unselectedItemWithData" dxfId="19"/>
            <x14:slicerStyleElement type="selectedItemWithData" dxfId="18"/>
          </x14:slicerStyleElements>
        </x14:slicerStyle>
        <x14:slicerStyle name="Slicer Style 3">
          <x14:slicerStyleElements>
            <x14:slicerStyleElement type="selectedItemWithData" dxfId="17"/>
          </x14:slicerStyleElements>
        </x14:slicerStyle>
        <x14:slicerStyle name="Slicer Style 4">
          <x14:slicerStyleElements>
            <x14:slicerStyleElement type="hoveredSelectedItemWithData" dxfId="16"/>
          </x14:slicerStyleElements>
        </x14:slicerStyle>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3.xml"/><Relationship Id="rId18" Type="http://schemas.openxmlformats.org/officeDocument/2006/relationships/pivotCacheDefinition" Target="pivotCache/pivotCacheDefinition8.xml"/><Relationship Id="rId26" Type="http://schemas.microsoft.com/office/2007/relationships/slicerCache" Target="slicerCaches/slicerCache4.xml"/><Relationship Id="rId39" Type="http://schemas.openxmlformats.org/officeDocument/2006/relationships/customXml" Target="../customXml/item1.xml"/><Relationship Id="rId21" Type="http://schemas.openxmlformats.org/officeDocument/2006/relationships/pivotCacheDefinition" Target="pivotCache/pivotCacheDefinition11.xml"/><Relationship Id="rId34" Type="http://schemas.openxmlformats.org/officeDocument/2006/relationships/connections" Target="connections.xml"/><Relationship Id="rId42" Type="http://schemas.openxmlformats.org/officeDocument/2006/relationships/customXml" Target="../customXml/item4.xml"/><Relationship Id="rId47" Type="http://schemas.openxmlformats.org/officeDocument/2006/relationships/customXml" Target="../customXml/item9.xml"/><Relationship Id="rId50" Type="http://schemas.openxmlformats.org/officeDocument/2006/relationships/customXml" Target="../customXml/item12.xml"/><Relationship Id="rId55" Type="http://schemas.openxmlformats.org/officeDocument/2006/relationships/customXml" Target="../customXml/item17.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pivotCacheDefinition" Target="pivotCache/pivotCacheDefinition7.xml"/><Relationship Id="rId25" Type="http://schemas.microsoft.com/office/2007/relationships/slicerCache" Target="slicerCaches/slicerCache3.xml"/><Relationship Id="rId33" Type="http://schemas.openxmlformats.org/officeDocument/2006/relationships/theme" Target="theme/theme1.xml"/><Relationship Id="rId38" Type="http://schemas.openxmlformats.org/officeDocument/2006/relationships/calcChain" Target="calcChain.xml"/><Relationship Id="rId46" Type="http://schemas.openxmlformats.org/officeDocument/2006/relationships/customXml" Target="../customXml/item8.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6.xml"/><Relationship Id="rId20" Type="http://schemas.openxmlformats.org/officeDocument/2006/relationships/pivotCacheDefinition" Target="pivotCache/pivotCacheDefinition10.xml"/><Relationship Id="rId29" Type="http://schemas.microsoft.com/office/2007/relationships/slicerCache" Target="slicerCaches/slicerCache7.xml"/><Relationship Id="rId41" Type="http://schemas.openxmlformats.org/officeDocument/2006/relationships/customXml" Target="../customXml/item3.xml"/><Relationship Id="rId54"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24" Type="http://schemas.microsoft.com/office/2007/relationships/slicerCache" Target="slicerCaches/slicerCache2.xml"/><Relationship Id="rId32" Type="http://schemas.microsoft.com/office/2007/relationships/slicerCache" Target="slicerCaches/slicerCache10.xml"/><Relationship Id="rId37" Type="http://schemas.openxmlformats.org/officeDocument/2006/relationships/powerPivotData" Target="model/item.data"/><Relationship Id="rId40" Type="http://schemas.openxmlformats.org/officeDocument/2006/relationships/customXml" Target="../customXml/item2.xml"/><Relationship Id="rId45" Type="http://schemas.openxmlformats.org/officeDocument/2006/relationships/customXml" Target="../customXml/item7.xml"/><Relationship Id="rId53" Type="http://schemas.openxmlformats.org/officeDocument/2006/relationships/customXml" Target="../customXml/item15.xml"/><Relationship Id="rId58" Type="http://schemas.openxmlformats.org/officeDocument/2006/relationships/customXml" Target="../customXml/item20.xml"/><Relationship Id="rId5" Type="http://schemas.openxmlformats.org/officeDocument/2006/relationships/worksheet" Target="worksheets/sheet5.xml"/><Relationship Id="rId15" Type="http://schemas.openxmlformats.org/officeDocument/2006/relationships/pivotCacheDefinition" Target="pivotCache/pivotCacheDefinition5.xml"/><Relationship Id="rId23" Type="http://schemas.microsoft.com/office/2007/relationships/slicerCache" Target="slicerCaches/slicerCache1.xml"/><Relationship Id="rId28" Type="http://schemas.microsoft.com/office/2007/relationships/slicerCache" Target="slicerCaches/slicerCache6.xml"/><Relationship Id="rId36" Type="http://schemas.openxmlformats.org/officeDocument/2006/relationships/sharedStrings" Target="sharedStrings.xml"/><Relationship Id="rId49" Type="http://schemas.openxmlformats.org/officeDocument/2006/relationships/customXml" Target="../customXml/item11.xml"/><Relationship Id="rId57" Type="http://schemas.openxmlformats.org/officeDocument/2006/relationships/customXml" Target="../customXml/item19.xml"/><Relationship Id="rId10" Type="http://schemas.openxmlformats.org/officeDocument/2006/relationships/worksheet" Target="worksheets/sheet10.xml"/><Relationship Id="rId19" Type="http://schemas.openxmlformats.org/officeDocument/2006/relationships/pivotCacheDefinition" Target="pivotCache/pivotCacheDefinition9.xml"/><Relationship Id="rId31" Type="http://schemas.microsoft.com/office/2007/relationships/slicerCache" Target="slicerCaches/slicerCache9.xml"/><Relationship Id="rId44" Type="http://schemas.openxmlformats.org/officeDocument/2006/relationships/customXml" Target="../customXml/item6.xml"/><Relationship Id="rId52"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 Id="rId22" Type="http://schemas.openxmlformats.org/officeDocument/2006/relationships/pivotCacheDefinition" Target="pivotCache/pivotCacheDefinition12.xml"/><Relationship Id="rId27" Type="http://schemas.microsoft.com/office/2007/relationships/slicerCache" Target="slicerCaches/slicerCache5.xml"/><Relationship Id="rId30" Type="http://schemas.microsoft.com/office/2007/relationships/slicerCache" Target="slicerCaches/slicerCache8.xml"/><Relationship Id="rId35" Type="http://schemas.openxmlformats.org/officeDocument/2006/relationships/styles" Target="styles.xml"/><Relationship Id="rId43" Type="http://schemas.openxmlformats.org/officeDocument/2006/relationships/customXml" Target="../customXml/item5.xml"/><Relationship Id="rId48" Type="http://schemas.openxmlformats.org/officeDocument/2006/relationships/customXml" Target="../customXml/item10.xml"/><Relationship Id="rId56" Type="http://schemas.openxmlformats.org/officeDocument/2006/relationships/customXml" Target="../customXml/item18.xml"/><Relationship Id="rId8" Type="http://schemas.openxmlformats.org/officeDocument/2006/relationships/worksheet" Target="worksheets/sheet8.xml"/><Relationship Id="rId51" Type="http://schemas.openxmlformats.org/officeDocument/2006/relationships/customXml" Target="../customXml/item13.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5.xml"/><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2"/>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1-9A16-4945-B735-1DF957950FF3}"/>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3"/>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0C-7E24-4449-928B-0E0283E10166}"/>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1-4726-4204-B9B5-E2CBB63D9C10}"/>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2-4726-4204-B9B5-E2CBB63D9C10}"/>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3-4726-4204-B9B5-E2CBB63D9C10}"/>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9.0012336265043194E-2"/>
          <c:y val="0.10207448963876607"/>
          <c:w val="0.87623691881598398"/>
          <c:h val="0.15823777532891442"/>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2"/>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1-BFE8-43AB-A8AB-21AECD2C0A81}"/>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3-BFE8-43AB-A8AB-21AECD2C0A81}"/>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5-BFE8-43AB-A8AB-21AECD2C0A81}"/>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7-BFE8-43AB-A8AB-21AECD2C0A81}"/>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Literature_Data.xlsm]Figure-Data Type and Context!PivotTable57</c:name>
    <c:fmtId val="0"/>
  </c:pivotSource>
  <c:chart>
    <c:title>
      <c:tx>
        <c:rich>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r>
              <a:rPr lang="en-US"/>
              <a:t>Studies by Context and Data Type</a:t>
            </a:r>
          </a:p>
        </c:rich>
      </c:tx>
      <c:layout>
        <c:manualLayout>
          <c:xMode val="edge"/>
          <c:yMode val="edge"/>
          <c:x val="0.17781461082403002"/>
          <c:y val="0"/>
        </c:manualLayout>
      </c:layout>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dk1"/>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col"/>
        <c:grouping val="clustered"/>
        <c:varyColors val="0"/>
        <c:ser>
          <c:idx val="0"/>
          <c:order val="0"/>
          <c:tx>
            <c:strRef>
              <c:f>'Figure-Data Type and Context'!$B$1:$B$2</c:f>
              <c:strCache>
                <c:ptCount val="1"/>
                <c:pt idx="0">
                  <c:v>Mixed</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Context'!$B$3:$B$6</c:f>
              <c:numCache>
                <c:formatCode>General</c:formatCode>
                <c:ptCount val="3"/>
                <c:pt idx="1">
                  <c:v>3</c:v>
                </c:pt>
                <c:pt idx="2">
                  <c:v>5</c:v>
                </c:pt>
              </c:numCache>
            </c:numRef>
          </c:val>
          <c:extLst>
            <c:ext xmlns:c16="http://schemas.microsoft.com/office/drawing/2014/chart" uri="{C3380CC4-5D6E-409C-BE32-E72D297353CC}">
              <c16:uniqueId val="{00000000-8324-44BC-B771-6C2B0CCB01EE}"/>
            </c:ext>
          </c:extLst>
        </c:ser>
        <c:ser>
          <c:idx val="1"/>
          <c:order val="1"/>
          <c:tx>
            <c:strRef>
              <c:f>'Figure-Data Type and Context'!$C$1:$C$2</c:f>
              <c:strCache>
                <c:ptCount val="1"/>
                <c:pt idx="0">
                  <c:v>N/A</c:v>
                </c:pt>
              </c:strCache>
            </c:strRef>
          </c:tx>
          <c:spPr>
            <a:solidFill>
              <a:schemeClr val="accent2">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Context'!$C$3:$C$6</c:f>
              <c:numCache>
                <c:formatCode>General</c:formatCode>
                <c:ptCount val="3"/>
                <c:pt idx="0">
                  <c:v>14</c:v>
                </c:pt>
                <c:pt idx="1">
                  <c:v>3</c:v>
                </c:pt>
                <c:pt idx="2">
                  <c:v>1</c:v>
                </c:pt>
              </c:numCache>
            </c:numRef>
          </c:val>
          <c:extLst>
            <c:ext xmlns:c16="http://schemas.microsoft.com/office/drawing/2014/chart" uri="{C3380CC4-5D6E-409C-BE32-E72D297353CC}">
              <c16:uniqueId val="{00000000-FB03-431B-9042-BBC5A6E29525}"/>
            </c:ext>
          </c:extLst>
        </c:ser>
        <c:ser>
          <c:idx val="2"/>
          <c:order val="2"/>
          <c:tx>
            <c:strRef>
              <c:f>'Figure-Data Type and Context'!$D$1:$D$2</c:f>
              <c:strCache>
                <c:ptCount val="1"/>
                <c:pt idx="0">
                  <c:v>Primary</c:v>
                </c:pt>
              </c:strCache>
            </c:strRef>
          </c:tx>
          <c:spPr>
            <a:solidFill>
              <a:schemeClr val="accent3">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Context'!$D$3:$D$6</c:f>
              <c:numCache>
                <c:formatCode>General</c:formatCode>
                <c:ptCount val="3"/>
                <c:pt idx="0">
                  <c:v>2</c:v>
                </c:pt>
                <c:pt idx="1">
                  <c:v>1</c:v>
                </c:pt>
                <c:pt idx="2">
                  <c:v>2</c:v>
                </c:pt>
              </c:numCache>
            </c:numRef>
          </c:val>
          <c:extLst>
            <c:ext xmlns:c16="http://schemas.microsoft.com/office/drawing/2014/chart" uri="{C3380CC4-5D6E-409C-BE32-E72D297353CC}">
              <c16:uniqueId val="{00000001-FB03-431B-9042-BBC5A6E29525}"/>
            </c:ext>
          </c:extLst>
        </c:ser>
        <c:ser>
          <c:idx val="3"/>
          <c:order val="3"/>
          <c:tx>
            <c:strRef>
              <c:f>'Figure-Data Type and Context'!$E$1:$E$2</c:f>
              <c:strCache>
                <c:ptCount val="1"/>
                <c:pt idx="0">
                  <c:v>Secondary (Publicly Available)</c:v>
                </c:pt>
              </c:strCache>
            </c:strRef>
          </c:tx>
          <c:spPr>
            <a:solidFill>
              <a:schemeClr val="accent4">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'Figure-Data Type and Context'!$A$3:$A$6</c:f>
              <c:strCache>
                <c:ptCount val="3"/>
                <c:pt idx="0">
                  <c:v>General</c:v>
                </c:pt>
                <c:pt idx="1">
                  <c:v>Labor Trafficking</c:v>
                </c:pt>
                <c:pt idx="2">
                  <c:v>Sex Trafficking</c:v>
                </c:pt>
              </c:strCache>
            </c:strRef>
          </c:cat>
          <c:val>
            <c:numRef>
              <c:f>'Figure-Data Type and Context'!$E$3:$E$6</c:f>
              <c:numCache>
                <c:formatCode>General</c:formatCode>
                <c:ptCount val="3"/>
                <c:pt idx="0">
                  <c:v>41</c:v>
                </c:pt>
                <c:pt idx="1">
                  <c:v>10</c:v>
                </c:pt>
                <c:pt idx="2">
                  <c:v>60</c:v>
                </c:pt>
              </c:numCache>
            </c:numRef>
          </c:val>
          <c:extLst>
            <c:ext xmlns:c16="http://schemas.microsoft.com/office/drawing/2014/chart" uri="{C3380CC4-5D6E-409C-BE32-E72D297353CC}">
              <c16:uniqueId val="{00000002-FB03-431B-9042-BBC5A6E29525}"/>
            </c:ext>
          </c:extLst>
        </c:ser>
        <c:dLbls>
          <c:showLegendKey val="0"/>
          <c:showVal val="0"/>
          <c:showCatName val="0"/>
          <c:showSerName val="0"/>
          <c:showPercent val="0"/>
          <c:showBubbleSize val="0"/>
        </c:dLbls>
        <c:gapWidth val="80"/>
        <c:axId val="1335029536"/>
        <c:axId val="1335029864"/>
      </c:barChart>
      <c:catAx>
        <c:axId val="1335029536"/>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0.43421412948381455"/>
              <c:y val="0.9167359288422281"/>
            </c:manualLayout>
          </c:layout>
          <c:overlay val="0"/>
          <c:spPr>
            <a:noFill/>
            <a:ln>
              <a:noFill/>
            </a:ln>
            <a:effectLst/>
          </c:spPr>
          <c:txPr>
            <a:bodyPr rot="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r>
                  <a:rPr lang="en-US"/>
                  <a:t>Title</a:t>
                </a: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legend>
      <c:legendPos val="t"/>
      <c:layout>
        <c:manualLayout>
          <c:xMode val="edge"/>
          <c:yMode val="edge"/>
          <c:x val="7.9894785787372219E-2"/>
          <c:y val="0.10285481620057627"/>
          <c:w val="0.88580114603441162"/>
          <c:h val="7.5503884162130747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Literature_Data.xlsm]Figure-Years!PivotTable56</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r>
              <a:rPr lang="en-US" sz="1100" b="0" i="0" baseline="0">
                <a:effectLst/>
              </a:rPr>
              <a:t>Total Number of Studies Across Years</a:t>
            </a:r>
            <a:endParaRPr lang="en-US" sz="11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600" b="0" i="0" u="none" strike="noStrike" kern="1200" cap="none" spc="50" normalizeH="0" baseline="0">
              <a:solidFill>
                <a:sysClr val="windowText" lastClr="000000"/>
              </a:solidFill>
              <a:latin typeface="+mn-lt"/>
              <a:ea typeface="+mn-ea"/>
              <a:cs typeface="+mn-cs"/>
            </a:defRPr>
          </a:pPr>
          <a:endParaRPr lang="en-US"/>
        </a:p>
      </c:tx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'Figure-Years'!$B$1</c:f>
              <c:strCache>
                <c:ptCount val="1"/>
                <c:pt idx="0">
                  <c:v>Total</c:v>
                </c:pt>
              </c:strCache>
            </c:strRef>
          </c:tx>
          <c:spPr>
            <a:solidFill>
              <a:schemeClr val="accent1">
                <a:alpha val="7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'Figure-Years'!$A$2:$A$14</c:f>
              <c:strCache>
                <c:ptCount val="12"/>
                <c:pt idx="0">
                  <c:v>2010</c:v>
                </c:pt>
                <c:pt idx="1">
                  <c:v>2011</c:v>
                </c:pt>
                <c:pt idx="2">
                  <c:v>2012</c:v>
                </c:pt>
                <c:pt idx="3">
                  <c:v>2013</c:v>
                </c:pt>
                <c:pt idx="4">
                  <c:v>2014</c:v>
                </c:pt>
                <c:pt idx="5">
                  <c:v>2015</c:v>
                </c:pt>
                <c:pt idx="6">
                  <c:v>2016</c:v>
                </c:pt>
                <c:pt idx="7">
                  <c:v>2017</c:v>
                </c:pt>
                <c:pt idx="8">
                  <c:v>2018</c:v>
                </c:pt>
                <c:pt idx="9">
                  <c:v>2019</c:v>
                </c:pt>
                <c:pt idx="10">
                  <c:v>2020</c:v>
                </c:pt>
                <c:pt idx="11">
                  <c:v>2021</c:v>
                </c:pt>
              </c:strCache>
            </c:strRef>
          </c:cat>
          <c:val>
            <c:numRef>
              <c:f>'Figure-Years'!$B$2:$B$14</c:f>
              <c:numCache>
                <c:formatCode>General</c:formatCode>
                <c:ptCount val="12"/>
                <c:pt idx="0">
                  <c:v>1</c:v>
                </c:pt>
                <c:pt idx="1">
                  <c:v>2</c:v>
                </c:pt>
                <c:pt idx="2">
                  <c:v>4</c:v>
                </c:pt>
                <c:pt idx="3">
                  <c:v>1</c:v>
                </c:pt>
                <c:pt idx="4">
                  <c:v>6</c:v>
                </c:pt>
                <c:pt idx="5">
                  <c:v>5</c:v>
                </c:pt>
                <c:pt idx="6">
                  <c:v>7</c:v>
                </c:pt>
                <c:pt idx="7">
                  <c:v>15</c:v>
                </c:pt>
                <c:pt idx="8">
                  <c:v>21</c:v>
                </c:pt>
                <c:pt idx="9">
                  <c:v>22</c:v>
                </c:pt>
                <c:pt idx="10">
                  <c:v>22</c:v>
                </c:pt>
                <c:pt idx="11">
                  <c:v>36</c:v>
                </c:pt>
              </c:numCache>
            </c:numRef>
          </c:val>
          <c:extLst>
            <c:ext xmlns:c16="http://schemas.microsoft.com/office/drawing/2014/chart" uri="{C3380CC4-5D6E-409C-BE32-E72D297353CC}">
              <c16:uniqueId val="{00000003-9726-4FBC-814E-DAF912AD4747}"/>
            </c:ext>
          </c:extLst>
        </c:ser>
        <c:dLbls>
          <c:showLegendKey val="0"/>
          <c:showVal val="0"/>
          <c:showCatName val="0"/>
          <c:showSerName val="0"/>
          <c:showPercent val="0"/>
          <c:showBubbleSize val="0"/>
        </c:dLbls>
        <c:gapWidth val="80"/>
        <c:overlap val="25"/>
        <c:axId val="1335029536"/>
        <c:axId val="1335029864"/>
      </c:barChart>
      <c:catAx>
        <c:axId val="1335029536"/>
        <c:scaling>
          <c:orientation val="minMax"/>
        </c:scaling>
        <c:delete val="0"/>
        <c:axPos val="b"/>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Publication Year</a:t>
                </a:r>
                <a:endParaRPr lang="en-US" sz="900">
                  <a:effectLst/>
                </a:endParaRPr>
              </a:p>
            </c:rich>
          </c:tx>
          <c:layout>
            <c:manualLayout>
              <c:xMode val="edge"/>
              <c:yMode val="edge"/>
              <c:x val="0.40643635170603681"/>
              <c:y val="0.88895815106445031"/>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dk1"/>
                </a:solidFill>
                <a:latin typeface="+mn-lt"/>
                <a:ea typeface="+mn-ea"/>
                <a:cs typeface="+mn-cs"/>
              </a:defRPr>
            </a:pPr>
            <a:endParaRPr lang="en-US"/>
          </a:p>
        </c:txPr>
        <c:crossAx val="1335029864"/>
        <c:crosses val="autoZero"/>
        <c:auto val="1"/>
        <c:lblAlgn val="ctr"/>
        <c:lblOffset val="100"/>
        <c:noMultiLvlLbl val="0"/>
      </c:catAx>
      <c:valAx>
        <c:axId val="1335029864"/>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1.9444444444444445E-2"/>
              <c:y val="0.30745771361913093"/>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all" baseline="0">
                  <a:solidFill>
                    <a:sysClr val="windowText" lastClr="000000"/>
                  </a:solidFill>
                  <a:latin typeface="+mn-lt"/>
                  <a:ea typeface="+mn-ea"/>
                  <a:cs typeface="+mn-cs"/>
                </a:defRPr>
              </a:pPr>
              <a:endParaRPr lang="en-US"/>
            </a:p>
          </c:txPr>
        </c:title>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solidFill>
                <a:latin typeface="+mn-lt"/>
                <a:ea typeface="+mn-ea"/>
                <a:cs typeface="+mn-cs"/>
              </a:defRPr>
            </a:pPr>
            <a:endParaRPr lang="en-US"/>
          </a:p>
        </c:txPr>
        <c:crossAx val="1335029536"/>
        <c:crosses val="autoZero"/>
        <c:crossBetween val="between"/>
      </c:valAx>
      <c:spPr>
        <a:noFill/>
        <a:ln>
          <a:noFill/>
        </a:ln>
        <a:effectLst/>
      </c:spPr>
    </c:plotArea>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pivotSource>
    <c:name>[08_29_2022_ImprovedMacro_DetailedAnalysis_2022_Operations Research and Analytics to Combat Human Trafficking A Review of Academic Literature_Data.xlsm]Figure-4P Classifications!PivotTable55</c:name>
    <c:fmtId val="0"/>
  </c:pivotSource>
  <c:chart>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1600" b="0" i="0" u="none" strike="noStrike" kern="1200" cap="none" spc="50" normalizeH="0" baseline="0">
                <a:solidFill>
                  <a:sysClr val="windowText" lastClr="000000"/>
                </a:solidFill>
                <a:latin typeface="+mn-lt"/>
                <a:ea typeface="+mn-ea"/>
                <a:cs typeface="+mn-cs"/>
              </a:defRPr>
            </a:pPr>
            <a:r>
              <a:rPr lang="en-US" sz="1100" b="0" i="0" baseline="0">
                <a:effectLst/>
              </a:rPr>
              <a:t>4Ps Classifications</a:t>
            </a:r>
            <a:endParaRPr lang="en-US" sz="1100">
              <a:effectLst/>
            </a:endParaRPr>
          </a:p>
        </c:rich>
      </c:tx>
      <c:layout>
        <c:manualLayout>
          <c:xMode val="edge"/>
          <c:yMode val="edge"/>
          <c:x val="0.35812379702537184"/>
          <c:y val="3.864574219889181E-2"/>
        </c:manualLayout>
      </c:layout>
      <c:overlay val="0"/>
      <c:spPr>
        <a:noFill/>
        <a:ln>
          <a:noFill/>
        </a:ln>
        <a:effectLst/>
      </c:spPr>
    </c:title>
    <c:autoTitleDeleted val="0"/>
    <c:pivotFmts>
      <c:pivotFmt>
        <c:idx val="0"/>
        <c:spPr>
          <a:solidFill>
            <a:schemeClr val="accent1">
              <a:alpha val="70000"/>
            </a:schemeClr>
          </a:solidFill>
          <a:ln>
            <a:noFill/>
          </a:ln>
          <a:effectLst/>
        </c:spPr>
        <c:marker>
          <c:symbol val="circle"/>
          <c:size val="6"/>
          <c:spPr>
            <a:solidFill>
              <a:schemeClr val="accent1">
                <a:alpha val="70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alpha val="70000"/>
            </a:schemeClr>
          </a:solidFill>
          <a:ln>
            <a:noFill/>
          </a:ln>
          <a:effectLst/>
        </c:spPr>
        <c:marker>
          <c:symbol val="none"/>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alpha val="70000"/>
            </a:schemeClr>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3">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4">
              <a:alpha val="7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3">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4">
              <a:alpha val="70000"/>
            </a:schemeClr>
          </a:solidFill>
          <a:ln>
            <a:noFill/>
          </a:ln>
          <a:effectLst/>
        </c:spPr>
        <c:marker>
          <c:symbol val="none"/>
        </c:marker>
        <c:dLbl>
          <c:idx val="0"/>
          <c:spPr>
            <a:noFill/>
            <a:ln>
              <a:noFill/>
            </a:ln>
            <a:effectLst/>
          </c:spPr>
          <c:txPr>
            <a:bodyPr rot="0" vert="horz"/>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24012509599637"/>
          <c:y val="0.18300925925925926"/>
          <c:w val="0.83688296307262411"/>
          <c:h val="0.65873468941382318"/>
        </c:manualLayout>
      </c:layout>
      <c:barChart>
        <c:barDir val="bar"/>
        <c:grouping val="clustered"/>
        <c:varyColors val="0"/>
        <c:ser>
          <c:idx val="0"/>
          <c:order val="0"/>
          <c:tx>
            <c:strRef>
              <c:f>'Figure-4P Classifications'!$B$1:$B$2</c:f>
              <c:strCache>
                <c:ptCount val="1"/>
                <c:pt idx="0">
                  <c:v>Partnership</c:v>
                </c:pt>
              </c:strCache>
            </c:strRef>
          </c:tx>
          <c:spPr>
            <a:solidFill>
              <a:schemeClr val="accent1">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Classifications'!$B$3</c:f>
              <c:numCache>
                <c:formatCode>General</c:formatCode>
                <c:ptCount val="1"/>
                <c:pt idx="0">
                  <c:v>61</c:v>
                </c:pt>
              </c:numCache>
            </c:numRef>
          </c:val>
          <c:extLst>
            <c:ext xmlns:c16="http://schemas.microsoft.com/office/drawing/2014/chart" uri="{C3380CC4-5D6E-409C-BE32-E72D297353CC}">
              <c16:uniqueId val="{00000010-69EC-46D0-ADE6-F584BA87E6CB}"/>
            </c:ext>
          </c:extLst>
        </c:ser>
        <c:ser>
          <c:idx val="1"/>
          <c:order val="1"/>
          <c:tx>
            <c:strRef>
              <c:f>'Figure-4P Classifications'!$C$1:$C$2</c:f>
              <c:strCache>
                <c:ptCount val="1"/>
                <c:pt idx="0">
                  <c:v>Prevention</c:v>
                </c:pt>
              </c:strCache>
            </c:strRef>
          </c:tx>
          <c:spPr>
            <a:solidFill>
              <a:schemeClr val="accent2">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Classifications'!$C$3</c:f>
              <c:numCache>
                <c:formatCode>General</c:formatCode>
                <c:ptCount val="1"/>
                <c:pt idx="0">
                  <c:v>47</c:v>
                </c:pt>
              </c:numCache>
            </c:numRef>
          </c:val>
          <c:extLst>
            <c:ext xmlns:c16="http://schemas.microsoft.com/office/drawing/2014/chart" uri="{C3380CC4-5D6E-409C-BE32-E72D297353CC}">
              <c16:uniqueId val="{00000000-AFE0-4825-AAD2-49657B6A5BEB}"/>
            </c:ext>
          </c:extLst>
        </c:ser>
        <c:ser>
          <c:idx val="2"/>
          <c:order val="2"/>
          <c:tx>
            <c:strRef>
              <c:f>'Figure-4P Classifications'!$D$1:$D$2</c:f>
              <c:strCache>
                <c:ptCount val="1"/>
                <c:pt idx="0">
                  <c:v>Prosection</c:v>
                </c:pt>
              </c:strCache>
            </c:strRef>
          </c:tx>
          <c:spPr>
            <a:solidFill>
              <a:schemeClr val="accent3">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Classifications'!$D$3</c:f>
              <c:numCache>
                <c:formatCode>General</c:formatCode>
                <c:ptCount val="1"/>
                <c:pt idx="0">
                  <c:v>89</c:v>
                </c:pt>
              </c:numCache>
            </c:numRef>
          </c:val>
          <c:extLst>
            <c:ext xmlns:c16="http://schemas.microsoft.com/office/drawing/2014/chart" uri="{C3380CC4-5D6E-409C-BE32-E72D297353CC}">
              <c16:uniqueId val="{00000001-AFE0-4825-AAD2-49657B6A5BEB}"/>
            </c:ext>
          </c:extLst>
        </c:ser>
        <c:ser>
          <c:idx val="3"/>
          <c:order val="3"/>
          <c:tx>
            <c:strRef>
              <c:f>'Figure-4P Classifications'!$E$1:$E$2</c:f>
              <c:strCache>
                <c:ptCount val="1"/>
                <c:pt idx="0">
                  <c:v>Protection</c:v>
                </c:pt>
              </c:strCache>
            </c:strRef>
          </c:tx>
          <c:spPr>
            <a:solidFill>
              <a:schemeClr val="accent4">
                <a:alpha val="70000"/>
              </a:schemeClr>
            </a:solidFill>
            <a:ln>
              <a:noFill/>
            </a:ln>
            <a:effectLst/>
          </c:spPr>
          <c:invertIfNegative val="0"/>
          <c:dLbls>
            <c:spPr>
              <a:noFill/>
              <a:ln>
                <a:noFill/>
              </a:ln>
              <a:effectLst/>
            </c:spPr>
            <c:txPr>
              <a:bodyPr rot="0" vert="horz"/>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'Figure-4P Classifications'!$A$3</c:f>
              <c:strCache>
                <c:ptCount val="1"/>
                <c:pt idx="0">
                  <c:v>Total</c:v>
                </c:pt>
              </c:strCache>
            </c:strRef>
          </c:cat>
          <c:val>
            <c:numRef>
              <c:f>'Figure-4P Classifications'!$E$3</c:f>
              <c:numCache>
                <c:formatCode>General</c:formatCode>
                <c:ptCount val="1"/>
                <c:pt idx="0">
                  <c:v>64</c:v>
                </c:pt>
              </c:numCache>
            </c:numRef>
          </c:val>
          <c:extLst>
            <c:ext xmlns:c16="http://schemas.microsoft.com/office/drawing/2014/chart" uri="{C3380CC4-5D6E-409C-BE32-E72D297353CC}">
              <c16:uniqueId val="{00000002-AFE0-4825-AAD2-49657B6A5BEB}"/>
            </c:ext>
          </c:extLst>
        </c:ser>
        <c:dLbls>
          <c:dLblPos val="outEnd"/>
          <c:showLegendKey val="0"/>
          <c:showVal val="1"/>
          <c:showCatName val="0"/>
          <c:showSerName val="0"/>
          <c:showPercent val="0"/>
          <c:showBubbleSize val="0"/>
        </c:dLbls>
        <c:gapWidth val="80"/>
        <c:overlap val="-5"/>
        <c:axId val="1335029536"/>
        <c:axId val="1335029864"/>
      </c:barChart>
      <c:catAx>
        <c:axId val="1335029536"/>
        <c:scaling>
          <c:orientation val="minMax"/>
        </c:scaling>
        <c:delete val="1"/>
        <c:axPos val="l"/>
        <c:title>
          <c:tx>
            <c:rich>
              <a:bodyPr rot="-540000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4ps</a:t>
                </a:r>
                <a:endParaRPr lang="en-US" sz="900">
                  <a:effectLst/>
                </a:endParaRPr>
              </a:p>
            </c:rich>
          </c:tx>
          <c:layout>
            <c:manualLayout>
              <c:xMode val="edge"/>
              <c:yMode val="edge"/>
              <c:x val="3.7760601025789202E-2"/>
              <c:y val="0.46296697287839023"/>
            </c:manualLayout>
          </c:layout>
          <c:overlay val="0"/>
          <c:spPr>
            <a:noFill/>
            <a:ln>
              <a:noFill/>
            </a:ln>
            <a:effectLst/>
          </c:spPr>
        </c:title>
        <c:numFmt formatCode="General" sourceLinked="1"/>
        <c:majorTickMark val="none"/>
        <c:minorTickMark val="none"/>
        <c:tickLblPos val="nextTo"/>
        <c:crossAx val="1335029864"/>
        <c:crosses val="autoZero"/>
        <c:auto val="1"/>
        <c:lblAlgn val="ctr"/>
        <c:lblOffset val="100"/>
        <c:noMultiLvlLbl val="0"/>
      </c:catAx>
      <c:valAx>
        <c:axId val="1335029864"/>
        <c:scaling>
          <c:orientation val="minMax"/>
        </c:scaling>
        <c:delete val="0"/>
        <c:axPos val="b"/>
        <c:majorGridlines>
          <c:spPr>
            <a:ln w="9525" cap="flat" cmpd="sng" algn="ctr">
              <a:solidFill>
                <a:schemeClr val="tx1">
                  <a:lumMod val="5000"/>
                  <a:lumOff val="95000"/>
                </a:schemeClr>
              </a:solidFill>
              <a:round/>
            </a:ln>
            <a:effectLst/>
          </c:spPr>
        </c:majorGridlines>
        <c:title>
          <c:tx>
            <c:rich>
              <a:bodyPr rot="0" vert="horz"/>
              <a:lstStyle/>
              <a:p>
                <a:pPr marL="0" marR="0" lvl="0" indent="0" algn="ctr" defTabSz="914400" rtl="0" eaLnBrk="1" fontAlgn="auto" latinLnBrk="0" hangingPunct="1">
                  <a:lnSpc>
                    <a:spcPct val="100000"/>
                  </a:lnSpc>
                  <a:spcBef>
                    <a:spcPts val="0"/>
                  </a:spcBef>
                  <a:spcAft>
                    <a:spcPts val="0"/>
                  </a:spcAft>
                  <a:buClrTx/>
                  <a:buSzTx/>
                  <a:buFontTx/>
                  <a:buNone/>
                  <a:tabLst/>
                  <a:defRPr lang="en-US" sz="900" b="0" i="0" u="none" strike="noStrike" kern="1200" cap="all" baseline="0">
                    <a:solidFill>
                      <a:sysClr val="windowText" lastClr="000000"/>
                    </a:solidFill>
                    <a:latin typeface="+mn-lt"/>
                    <a:ea typeface="+mn-ea"/>
                    <a:cs typeface="+mn-cs"/>
                  </a:defRPr>
                </a:pPr>
                <a:r>
                  <a:rPr lang="en-US" sz="900" b="0" i="0" cap="all" baseline="0">
                    <a:effectLst/>
                  </a:rPr>
                  <a:t>Count of studies</a:t>
                </a:r>
                <a:endParaRPr lang="en-US" sz="900">
                  <a:effectLst/>
                </a:endParaRPr>
              </a:p>
            </c:rich>
          </c:tx>
          <c:layout>
            <c:manualLayout>
              <c:xMode val="edge"/>
              <c:yMode val="edge"/>
              <c:x val="0.4122303149606299"/>
              <c:y val="0.93525444736074659"/>
            </c:manualLayout>
          </c:layout>
          <c:overlay val="0"/>
          <c:spPr>
            <a:noFill/>
            <a:ln>
              <a:noFill/>
            </a:ln>
            <a:effectLst/>
          </c:spPr>
        </c:title>
        <c:numFmt formatCode="General" sourceLinked="0"/>
        <c:majorTickMark val="none"/>
        <c:minorTickMark val="none"/>
        <c:tickLblPos val="nextTo"/>
        <c:spPr>
          <a:noFill/>
          <a:ln>
            <a:noFill/>
          </a:ln>
          <a:effectLst/>
        </c:spPr>
        <c:txPr>
          <a:bodyPr rot="-60000000" vert="horz"/>
          <a:lstStyle/>
          <a:p>
            <a:pPr>
              <a:defRPr/>
            </a:pPr>
            <a:endParaRPr lang="en-US"/>
          </a:p>
        </c:txPr>
        <c:crossAx val="1335029536"/>
        <c:crosses val="autoZero"/>
        <c:crossBetween val="between"/>
      </c:valAx>
    </c:plotArea>
    <c:legend>
      <c:legendPos val="r"/>
      <c:layout>
        <c:manualLayout>
          <c:xMode val="edge"/>
          <c:yMode val="edge"/>
          <c:x val="0.10644597550306212"/>
          <c:y val="7.3697819574673307E-2"/>
          <c:w val="0.83945778652668412"/>
          <c:h val="0.19473099431475654"/>
        </c:manualLayout>
      </c:layout>
      <c:overlay val="0"/>
      <c:spPr>
        <a:noFill/>
        <a:ln>
          <a:noFill/>
        </a:ln>
        <a:effectLst/>
      </c:spPr>
      <c:txPr>
        <a:bodyPr rot="0" vert="horz"/>
        <a:lstStyle/>
        <a:p>
          <a:pPr>
            <a:defRPr/>
          </a:pPr>
          <a:endParaRPr lang="en-US"/>
        </a:p>
      </c:txPr>
    </c:legend>
    <c:plotVisOnly val="1"/>
    <c:dispBlanksAs val="gap"/>
    <c:showDLblsOverMax val="0"/>
    <c:extLst/>
  </c:chart>
  <c:spPr>
    <a:solidFill>
      <a:schemeClr val="lt1"/>
    </a:solidFill>
    <a:ln w="12700" cap="flat" cmpd="sng" algn="ctr">
      <a:solidFill>
        <a:schemeClr val="accent1"/>
      </a:solidFill>
      <a:prstDash val="solid"/>
      <a:miter lim="800000"/>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editAs="oneCell">
    <xdr:from>
      <xdr:col>3</xdr:col>
      <xdr:colOff>527049</xdr:colOff>
      <xdr:row>26</xdr:row>
      <xdr:rowOff>166687</xdr:rowOff>
    </xdr:from>
    <xdr:to>
      <xdr:col>4</xdr:col>
      <xdr:colOff>738187</xdr:colOff>
      <xdr:row>34</xdr:row>
      <xdr:rowOff>162383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2360612" y="11303000"/>
          <a:ext cx="1814513" cy="1456196"/>
        </a:xfrm>
        <a:prstGeom prst="rect">
          <a:avLst/>
        </a:prstGeom>
      </xdr:spPr>
    </xdr:pic>
    <xdr:clientData/>
  </xdr:twoCellAnchor>
  <xdr:twoCellAnchor editAs="oneCell">
    <xdr:from>
      <xdr:col>6</xdr:col>
      <xdr:colOff>182563</xdr:colOff>
      <xdr:row>28</xdr:row>
      <xdr:rowOff>144462</xdr:rowOff>
    </xdr:from>
    <xdr:to>
      <xdr:col>6</xdr:col>
      <xdr:colOff>2169864</xdr:colOff>
      <xdr:row>30</xdr:row>
      <xdr:rowOff>174625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b="76617"/>
        <a:stretch/>
      </xdr:blipFill>
      <xdr:spPr>
        <a:xfrm>
          <a:off x="7254876" y="11645900"/>
          <a:ext cx="1987301" cy="395288"/>
        </a:xfrm>
        <a:prstGeom prst="rect">
          <a:avLst/>
        </a:prstGeom>
      </xdr:spPr>
    </xdr:pic>
    <xdr:clientData/>
  </xdr:twoCellAnchor>
  <xdr:twoCellAnchor editAs="oneCell">
    <xdr:from>
      <xdr:col>4</xdr:col>
      <xdr:colOff>1393825</xdr:colOff>
      <xdr:row>27</xdr:row>
      <xdr:rowOff>19051</xdr:rowOff>
    </xdr:from>
    <xdr:to>
      <xdr:col>5</xdr:col>
      <xdr:colOff>1791834</xdr:colOff>
      <xdr:row>34</xdr:row>
      <xdr:rowOff>174625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stretch>
          <a:fillRect/>
        </a:stretch>
      </xdr:blipFill>
      <xdr:spPr>
        <a:xfrm>
          <a:off x="4830763" y="11337926"/>
          <a:ext cx="1795009" cy="1433512"/>
        </a:xfrm>
        <a:prstGeom prst="rect">
          <a:avLst/>
        </a:prstGeom>
      </xdr:spPr>
    </xdr:pic>
    <xdr:clientData/>
  </xdr:twoCellAnchor>
  <xdr:twoCellAnchor editAs="oneCell">
    <xdr:from>
      <xdr:col>3</xdr:col>
      <xdr:colOff>928689</xdr:colOff>
      <xdr:row>38</xdr:row>
      <xdr:rowOff>14288</xdr:rowOff>
    </xdr:from>
    <xdr:to>
      <xdr:col>5</xdr:col>
      <xdr:colOff>1048948</xdr:colOff>
      <xdr:row>46</xdr:row>
      <xdr:rowOff>110929</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2762252" y="12523788"/>
          <a:ext cx="3120634" cy="1557141"/>
        </a:xfrm>
        <a:prstGeom prst="rect">
          <a:avLst/>
        </a:prstGeom>
      </xdr:spPr>
    </xdr:pic>
    <xdr:clientData/>
  </xdr:twoCellAnchor>
  <xdr:twoCellAnchor editAs="oneCell">
    <xdr:from>
      <xdr:col>6</xdr:col>
      <xdr:colOff>2195513</xdr:colOff>
      <xdr:row>28</xdr:row>
      <xdr:rowOff>160337</xdr:rowOff>
    </xdr:from>
    <xdr:to>
      <xdr:col>7</xdr:col>
      <xdr:colOff>1934909</xdr:colOff>
      <xdr:row>30</xdr:row>
      <xdr:rowOff>166688</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rotWithShape="1">
        <a:blip xmlns:r="http://schemas.openxmlformats.org/officeDocument/2006/relationships" r:embed="rId1"/>
        <a:srcRect b="76965"/>
        <a:stretch/>
      </xdr:blipFill>
      <xdr:spPr>
        <a:xfrm>
          <a:off x="9267826" y="11661775"/>
          <a:ext cx="2009521" cy="371476"/>
        </a:xfrm>
        <a:prstGeom prst="rect">
          <a:avLst/>
        </a:prstGeom>
      </xdr:spPr>
    </xdr:pic>
    <xdr:clientData/>
  </xdr:twoCellAnchor>
  <xdr:twoCellAnchor editAs="oneCell">
    <xdr:from>
      <xdr:col>5</xdr:col>
      <xdr:colOff>2135187</xdr:colOff>
      <xdr:row>40</xdr:row>
      <xdr:rowOff>7937</xdr:rowOff>
    </xdr:from>
    <xdr:to>
      <xdr:col>7</xdr:col>
      <xdr:colOff>255258</xdr:colOff>
      <xdr:row>43</xdr:row>
      <xdr:rowOff>79297</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5"/>
        <a:stretch>
          <a:fillRect/>
        </a:stretch>
      </xdr:blipFill>
      <xdr:spPr>
        <a:xfrm>
          <a:off x="6969125" y="13716000"/>
          <a:ext cx="2628571" cy="619048"/>
        </a:xfrm>
        <a:prstGeom prst="rect">
          <a:avLst/>
        </a:prstGeom>
      </xdr:spPr>
    </xdr:pic>
    <xdr:clientData/>
  </xdr:twoCellAnchor>
  <xdr:twoCellAnchor editAs="oneCell">
    <xdr:from>
      <xdr:col>5</xdr:col>
      <xdr:colOff>849312</xdr:colOff>
      <xdr:row>60</xdr:row>
      <xdr:rowOff>150812</xdr:rowOff>
    </xdr:from>
    <xdr:to>
      <xdr:col>6</xdr:col>
      <xdr:colOff>627062</xdr:colOff>
      <xdr:row>69</xdr:row>
      <xdr:rowOff>30882</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6"/>
        <a:srcRect l="2362" t="4826" r="5184" b="4373"/>
        <a:stretch/>
      </xdr:blipFill>
      <xdr:spPr>
        <a:xfrm>
          <a:off x="5683250" y="17510125"/>
          <a:ext cx="2016125" cy="1523132"/>
        </a:xfrm>
        <a:prstGeom prst="rect">
          <a:avLst/>
        </a:prstGeom>
      </xdr:spPr>
    </xdr:pic>
    <xdr:clientData/>
  </xdr:twoCellAnchor>
  <xdr:twoCellAnchor editAs="oneCell">
    <xdr:from>
      <xdr:col>6</xdr:col>
      <xdr:colOff>1373187</xdr:colOff>
      <xdr:row>60</xdr:row>
      <xdr:rowOff>111188</xdr:rowOff>
    </xdr:from>
    <xdr:to>
      <xdr:col>7</xdr:col>
      <xdr:colOff>1129392</xdr:colOff>
      <xdr:row>68</xdr:row>
      <xdr:rowOff>174624</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rotWithShape="1">
        <a:blip xmlns:r="http://schemas.openxmlformats.org/officeDocument/2006/relationships" r:embed="rId7"/>
        <a:srcRect l="1187" t="2028" r="3161" b="5667"/>
        <a:stretch/>
      </xdr:blipFill>
      <xdr:spPr>
        <a:xfrm>
          <a:off x="8445500" y="17470501"/>
          <a:ext cx="2026330" cy="1523936"/>
        </a:xfrm>
        <a:prstGeom prst="rect">
          <a:avLst/>
        </a:prstGeom>
      </xdr:spPr>
    </xdr:pic>
    <xdr:clientData/>
  </xdr:twoCellAnchor>
  <xdr:twoCellAnchor editAs="oneCell">
    <xdr:from>
      <xdr:col>3</xdr:col>
      <xdr:colOff>944562</xdr:colOff>
      <xdr:row>60</xdr:row>
      <xdr:rowOff>103188</xdr:rowOff>
    </xdr:from>
    <xdr:to>
      <xdr:col>5</xdr:col>
      <xdr:colOff>60170</xdr:colOff>
      <xdr:row>69</xdr:row>
      <xdr:rowOff>55563</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rotWithShape="1">
        <a:blip xmlns:r="http://schemas.openxmlformats.org/officeDocument/2006/relationships" r:embed="rId8"/>
        <a:srcRect l="912" t="2993" r="4727" b="2143"/>
        <a:stretch/>
      </xdr:blipFill>
      <xdr:spPr>
        <a:xfrm>
          <a:off x="2778125" y="17462501"/>
          <a:ext cx="2115983" cy="159543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21170</xdr:colOff>
      <xdr:row>31</xdr:row>
      <xdr:rowOff>112484</xdr:rowOff>
    </xdr:from>
    <xdr:to>
      <xdr:col>23</xdr:col>
      <xdr:colOff>539750</xdr:colOff>
      <xdr:row>56</xdr:row>
      <xdr:rowOff>174626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1170" y="6017984"/>
          <a:ext cx="16711080" cy="4824642"/>
        </a:xfrm>
        <a:prstGeom prst="rect">
          <a:avLst/>
        </a:prstGeom>
        <a:ln/>
      </xdr:spPr>
      <xdr:style>
        <a:lnRef idx="2">
          <a:schemeClr val="accent1"/>
        </a:lnRef>
        <a:fillRef idx="1">
          <a:schemeClr val="lt1"/>
        </a:fillRef>
        <a:effectRef idx="0">
          <a:schemeClr val="accent1"/>
        </a:effectRef>
        <a:fontRef idx="minor">
          <a:schemeClr val="dk1"/>
        </a:fontRef>
      </xdr:style>
      <xdr:txBody>
        <a:bodyPr vertOverflow="clip" horzOverflow="clip" wrap="square" rtlCol="0" anchor="t"/>
        <a:lstStyle/>
        <a:p>
          <a:pPr algn="ctr"/>
          <a:r>
            <a:rPr lang="en-US" sz="2000" b="1">
              <a:latin typeface="+mj-lt"/>
            </a:rPr>
            <a:t>Categorical Features *</a:t>
          </a:r>
        </a:p>
      </xdr:txBody>
    </xdr:sp>
    <xdr:clientData/>
  </xdr:twoCellAnchor>
  <mc:AlternateContent xmlns:mc="http://schemas.openxmlformats.org/markup-compatibility/2006">
    <mc:Choice xmlns:a14="http://schemas.microsoft.com/office/drawing/2010/main" Requires="a14">
      <xdr:twoCellAnchor>
        <xdr:from>
          <xdr:col>8</xdr:col>
          <xdr:colOff>1365250</xdr:colOff>
          <xdr:row>28</xdr:row>
          <xdr:rowOff>101600</xdr:rowOff>
        </xdr:from>
        <xdr:to>
          <xdr:col>10</xdr:col>
          <xdr:colOff>793750</xdr:colOff>
          <xdr:row>30</xdr:row>
          <xdr:rowOff>165100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100-0000014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Clear All  Selected Filters</a:t>
              </a:r>
            </a:p>
          </xdr:txBody>
        </xdr:sp>
        <xdr:clientData fPrintsWithSheet="0"/>
      </xdr:twoCellAnchor>
    </mc:Choice>
    <mc:Fallback/>
  </mc:AlternateContent>
  <xdr:twoCellAnchor>
    <xdr:from>
      <xdr:col>0</xdr:col>
      <xdr:colOff>72571</xdr:colOff>
      <xdr:row>0</xdr:row>
      <xdr:rowOff>36285</xdr:rowOff>
    </xdr:from>
    <xdr:to>
      <xdr:col>7</xdr:col>
      <xdr:colOff>489857</xdr:colOff>
      <xdr:row>15</xdr:row>
      <xdr:rowOff>58056</xdr:rowOff>
    </xdr:to>
    <xdr:graphicFrame macro="">
      <xdr:nvGraphicFramePr>
        <xdr:cNvPr id="16402" name="Chart 16401">
          <a:extLst>
            <a:ext uri="{FF2B5EF4-FFF2-40B4-BE49-F238E27FC236}">
              <a16:creationId xmlns:a16="http://schemas.microsoft.com/office/drawing/2014/main" id="{00000000-0008-0000-0100-000012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63499</xdr:colOff>
      <xdr:row>16</xdr:row>
      <xdr:rowOff>36286</xdr:rowOff>
    </xdr:from>
    <xdr:to>
      <xdr:col>7</xdr:col>
      <xdr:colOff>453570</xdr:colOff>
      <xdr:row>31</xdr:row>
      <xdr:rowOff>58057</xdr:rowOff>
    </xdr:to>
    <xdr:graphicFrame macro="">
      <xdr:nvGraphicFramePr>
        <xdr:cNvPr id="16403" name="Chart 16402">
          <a:extLst>
            <a:ext uri="{FF2B5EF4-FFF2-40B4-BE49-F238E27FC236}">
              <a16:creationId xmlns:a16="http://schemas.microsoft.com/office/drawing/2014/main" id="{00000000-0008-0000-0100-000013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0</xdr:row>
      <xdr:rowOff>45359</xdr:rowOff>
    </xdr:from>
    <xdr:to>
      <xdr:col>12</xdr:col>
      <xdr:colOff>2</xdr:colOff>
      <xdr:row>15</xdr:row>
      <xdr:rowOff>67130</xdr:rowOff>
    </xdr:to>
    <xdr:graphicFrame macro="">
      <xdr:nvGraphicFramePr>
        <xdr:cNvPr id="16404" name="Chart 16403">
          <a:extLst>
            <a:ext uri="{FF2B5EF4-FFF2-40B4-BE49-F238E27FC236}">
              <a16:creationId xmlns:a16="http://schemas.microsoft.com/office/drawing/2014/main" id="{00000000-0008-0000-0100-0000144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117930</xdr:colOff>
      <xdr:row>0</xdr:row>
      <xdr:rowOff>68034</xdr:rowOff>
    </xdr:from>
    <xdr:to>
      <xdr:col>23</xdr:col>
      <xdr:colOff>566965</xdr:colOff>
      <xdr:row>31</xdr:row>
      <xdr:rowOff>47625</xdr:rowOff>
    </xdr:to>
    <mc:AlternateContent xmlns:mc="http://schemas.openxmlformats.org/markup-compatibility/2006" xmlns:a14="http://schemas.microsoft.com/office/drawing/2010/main">
      <mc:Choice Requires="a14">
        <xdr:graphicFrame macro="">
          <xdr:nvGraphicFramePr>
            <xdr:cNvPr id="16405" name="PaperName">
              <a:extLst>
                <a:ext uri="{FF2B5EF4-FFF2-40B4-BE49-F238E27FC236}">
                  <a16:creationId xmlns:a16="http://schemas.microsoft.com/office/drawing/2014/main" id="{00000000-0008-0000-0100-000015400000}"/>
                </a:ext>
              </a:extLst>
            </xdr:cNvPr>
            <xdr:cNvGraphicFramePr/>
          </xdr:nvGraphicFramePr>
          <xdr:xfrm>
            <a:off x="0" y="0"/>
            <a:ext cx="0" cy="0"/>
          </xdr:xfrm>
          <a:graphic>
            <a:graphicData uri="http://schemas.microsoft.com/office/drawing/2010/slicer">
              <sle:slicer xmlns:sle="http://schemas.microsoft.com/office/drawing/2010/slicer" name="PaperName"/>
            </a:graphicData>
          </a:graphic>
        </xdr:graphicFrame>
      </mc:Choice>
      <mc:Fallback xmlns="">
        <xdr:sp macro="" textlink="">
          <xdr:nvSpPr>
            <xdr:cNvPr id="0" name=""/>
            <xdr:cNvSpPr>
              <a:spLocks noTextEdit="1"/>
            </xdr:cNvSpPr>
          </xdr:nvSpPr>
          <xdr:spPr>
            <a:xfrm>
              <a:off x="9674680" y="68034"/>
              <a:ext cx="7084785" cy="588509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151957</xdr:colOff>
      <xdr:row>33</xdr:row>
      <xdr:rowOff>146392</xdr:rowOff>
    </xdr:from>
    <xdr:to>
      <xdr:col>12</xdr:col>
      <xdr:colOff>257175</xdr:colOff>
      <xdr:row>42</xdr:row>
      <xdr:rowOff>61685</xdr:rowOff>
    </xdr:to>
    <mc:AlternateContent xmlns:mc="http://schemas.openxmlformats.org/markup-compatibility/2006" xmlns:a14="http://schemas.microsoft.com/office/drawing/2010/main">
      <mc:Choice Requires="a14">
        <xdr:graphicFrame macro="">
          <xdr:nvGraphicFramePr>
            <xdr:cNvPr id="16406" name="4Ps">
              <a:extLst>
                <a:ext uri="{FF2B5EF4-FFF2-40B4-BE49-F238E27FC236}">
                  <a16:creationId xmlns:a16="http://schemas.microsoft.com/office/drawing/2014/main" id="{00000000-0008-0000-0100-000016400000}"/>
                </a:ext>
              </a:extLst>
            </xdr:cNvPr>
            <xdr:cNvGraphicFramePr/>
          </xdr:nvGraphicFramePr>
          <xdr:xfrm>
            <a:off x="0" y="0"/>
            <a:ext cx="0" cy="0"/>
          </xdr:xfrm>
          <a:graphic>
            <a:graphicData uri="http://schemas.microsoft.com/office/drawing/2010/slicer">
              <sle:slicer xmlns:sle="http://schemas.microsoft.com/office/drawing/2010/slicer" name="4Ps"/>
            </a:graphicData>
          </a:graphic>
        </xdr:graphicFrame>
      </mc:Choice>
      <mc:Fallback xmlns="">
        <xdr:sp macro="" textlink="">
          <xdr:nvSpPr>
            <xdr:cNvPr id="0" name=""/>
            <xdr:cNvSpPr>
              <a:spLocks noTextEdit="1"/>
            </xdr:cNvSpPr>
          </xdr:nvSpPr>
          <xdr:spPr>
            <a:xfrm>
              <a:off x="7826386" y="6133535"/>
              <a:ext cx="2028360" cy="15481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9991</xdr:colOff>
      <xdr:row>33</xdr:row>
      <xdr:rowOff>146568</xdr:rowOff>
    </xdr:from>
    <xdr:to>
      <xdr:col>8</xdr:col>
      <xdr:colOff>844550</xdr:colOff>
      <xdr:row>42</xdr:row>
      <xdr:rowOff>69849</xdr:rowOff>
    </xdr:to>
    <mc:AlternateContent xmlns:mc="http://schemas.openxmlformats.org/markup-compatibility/2006" xmlns:a14="http://schemas.microsoft.com/office/drawing/2010/main">
      <mc:Choice Requires="a14">
        <xdr:graphicFrame macro="">
          <xdr:nvGraphicFramePr>
            <xdr:cNvPr id="16407" name="Category">
              <a:extLst>
                <a:ext uri="{FF2B5EF4-FFF2-40B4-BE49-F238E27FC236}">
                  <a16:creationId xmlns:a16="http://schemas.microsoft.com/office/drawing/2014/main" id="{00000000-0008-0000-0100-0000174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3048920" y="6133711"/>
              <a:ext cx="2657916" cy="155613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867695</xdr:colOff>
      <xdr:row>33</xdr:row>
      <xdr:rowOff>151265</xdr:rowOff>
    </xdr:from>
    <xdr:to>
      <xdr:col>10</xdr:col>
      <xdr:colOff>95250</xdr:colOff>
      <xdr:row>42</xdr:row>
      <xdr:rowOff>69849</xdr:rowOff>
    </xdr:to>
    <mc:AlternateContent xmlns:mc="http://schemas.openxmlformats.org/markup-compatibility/2006" xmlns:a14="http://schemas.microsoft.com/office/drawing/2010/main">
      <mc:Choice Requires="a14">
        <xdr:graphicFrame macro="">
          <xdr:nvGraphicFramePr>
            <xdr:cNvPr id="16408" name="Context">
              <a:extLst>
                <a:ext uri="{FF2B5EF4-FFF2-40B4-BE49-F238E27FC236}">
                  <a16:creationId xmlns:a16="http://schemas.microsoft.com/office/drawing/2014/main" id="{00000000-0008-0000-0100-000018400000}"/>
                </a:ext>
              </a:extLst>
            </xdr:cNvPr>
            <xdr:cNvGraphicFramePr/>
          </xdr:nvGraphicFramePr>
          <xdr:xfrm>
            <a:off x="0" y="0"/>
            <a:ext cx="0" cy="0"/>
          </xdr:xfrm>
          <a:graphic>
            <a:graphicData uri="http://schemas.microsoft.com/office/drawing/2010/slicer">
              <sle:slicer xmlns:sle="http://schemas.microsoft.com/office/drawing/2010/slicer" name="Context"/>
            </a:graphicData>
          </a:graphic>
        </xdr:graphicFrame>
      </mc:Choice>
      <mc:Fallback xmlns="">
        <xdr:sp macro="" textlink="">
          <xdr:nvSpPr>
            <xdr:cNvPr id="0" name=""/>
            <xdr:cNvSpPr>
              <a:spLocks noTextEdit="1"/>
            </xdr:cNvSpPr>
          </xdr:nvSpPr>
          <xdr:spPr>
            <a:xfrm>
              <a:off x="5729981" y="6138408"/>
              <a:ext cx="2039698" cy="15514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312975</xdr:colOff>
      <xdr:row>33</xdr:row>
      <xdr:rowOff>121088</xdr:rowOff>
    </xdr:from>
    <xdr:to>
      <xdr:col>17</xdr:col>
      <xdr:colOff>31750</xdr:colOff>
      <xdr:row>41</xdr:row>
      <xdr:rowOff>142876</xdr:rowOff>
    </xdr:to>
    <mc:AlternateContent xmlns:mc="http://schemas.openxmlformats.org/markup-compatibility/2006" xmlns:a14="http://schemas.microsoft.com/office/drawing/2010/main">
      <mc:Choice Requires="a14">
        <xdr:graphicFrame macro="">
          <xdr:nvGraphicFramePr>
            <xdr:cNvPr id="16409" name="Data Type">
              <a:extLst>
                <a:ext uri="{FF2B5EF4-FFF2-40B4-BE49-F238E27FC236}">
                  <a16:creationId xmlns:a16="http://schemas.microsoft.com/office/drawing/2014/main" id="{00000000-0008-0000-0100-000019400000}"/>
                </a:ext>
              </a:extLst>
            </xdr:cNvPr>
            <xdr:cNvGraphicFramePr/>
          </xdr:nvGraphicFramePr>
          <xdr:xfrm>
            <a:off x="0" y="0"/>
            <a:ext cx="0" cy="0"/>
          </xdr:xfrm>
          <a:graphic>
            <a:graphicData uri="http://schemas.microsoft.com/office/drawing/2010/slicer">
              <sle:slicer xmlns:sle="http://schemas.microsoft.com/office/drawing/2010/slicer" name="Data Type"/>
            </a:graphicData>
          </a:graphic>
        </xdr:graphicFrame>
      </mc:Choice>
      <mc:Fallback xmlns="">
        <xdr:sp macro="" textlink="">
          <xdr:nvSpPr>
            <xdr:cNvPr id="0" name=""/>
            <xdr:cNvSpPr>
              <a:spLocks noTextEdit="1"/>
            </xdr:cNvSpPr>
          </xdr:nvSpPr>
          <xdr:spPr>
            <a:xfrm>
              <a:off x="9869725" y="6407588"/>
              <a:ext cx="2735025" cy="15457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123384</xdr:colOff>
      <xdr:row>33</xdr:row>
      <xdr:rowOff>95250</xdr:rowOff>
    </xdr:from>
    <xdr:to>
      <xdr:col>23</xdr:col>
      <xdr:colOff>476250</xdr:colOff>
      <xdr:row>56</xdr:row>
      <xdr:rowOff>82550</xdr:rowOff>
    </xdr:to>
    <mc:AlternateContent xmlns:mc="http://schemas.openxmlformats.org/markup-compatibility/2006" xmlns:a14="http://schemas.microsoft.com/office/drawing/2010/main">
      <mc:Choice Requires="a14">
        <xdr:graphicFrame macro="">
          <xdr:nvGraphicFramePr>
            <xdr:cNvPr id="16410" name="Demographics">
              <a:extLst>
                <a:ext uri="{FF2B5EF4-FFF2-40B4-BE49-F238E27FC236}">
                  <a16:creationId xmlns:a16="http://schemas.microsoft.com/office/drawing/2014/main" id="{00000000-0008-0000-0100-00001A400000}"/>
                </a:ext>
              </a:extLst>
            </xdr:cNvPr>
            <xdr:cNvGraphicFramePr/>
          </xdr:nvGraphicFramePr>
          <xdr:xfrm>
            <a:off x="0" y="0"/>
            <a:ext cx="0" cy="0"/>
          </xdr:xfrm>
          <a:graphic>
            <a:graphicData uri="http://schemas.microsoft.com/office/drawing/2010/slicer">
              <sle:slicer xmlns:sle="http://schemas.microsoft.com/office/drawing/2010/slicer" name="Demographics"/>
            </a:graphicData>
          </a:graphic>
        </xdr:graphicFrame>
      </mc:Choice>
      <mc:Fallback xmlns="">
        <xdr:sp macro="" textlink="">
          <xdr:nvSpPr>
            <xdr:cNvPr id="0" name=""/>
            <xdr:cNvSpPr>
              <a:spLocks noTextEdit="1"/>
            </xdr:cNvSpPr>
          </xdr:nvSpPr>
          <xdr:spPr>
            <a:xfrm>
              <a:off x="14502959" y="6357694"/>
              <a:ext cx="2165791" cy="43896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88003</xdr:colOff>
      <xdr:row>42</xdr:row>
      <xdr:rowOff>101584</xdr:rowOff>
    </xdr:from>
    <xdr:to>
      <xdr:col>12</xdr:col>
      <xdr:colOff>276225</xdr:colOff>
      <xdr:row>56</xdr:row>
      <xdr:rowOff>97350</xdr:rowOff>
    </xdr:to>
    <mc:AlternateContent xmlns:mc="http://schemas.openxmlformats.org/markup-compatibility/2006" xmlns:a14="http://schemas.microsoft.com/office/drawing/2010/main">
      <mc:Choice Requires="a14">
        <xdr:graphicFrame macro="">
          <xdr:nvGraphicFramePr>
            <xdr:cNvPr id="16411" name="Methods">
              <a:extLst>
                <a:ext uri="{FF2B5EF4-FFF2-40B4-BE49-F238E27FC236}">
                  <a16:creationId xmlns:a16="http://schemas.microsoft.com/office/drawing/2014/main" id="{00000000-0008-0000-0100-00001B400000}"/>
                </a:ext>
              </a:extLst>
            </xdr:cNvPr>
            <xdr:cNvGraphicFramePr/>
          </xdr:nvGraphicFramePr>
          <xdr:xfrm>
            <a:off x="0" y="0"/>
            <a:ext cx="0" cy="0"/>
          </xdr:xfrm>
          <a:graphic>
            <a:graphicData uri="http://schemas.microsoft.com/office/drawing/2010/slicer">
              <sle:slicer xmlns:sle="http://schemas.microsoft.com/office/drawing/2010/slicer" name="Methods"/>
            </a:graphicData>
          </a:graphic>
        </xdr:graphicFrame>
      </mc:Choice>
      <mc:Fallback xmlns="">
        <xdr:sp macro="" textlink="">
          <xdr:nvSpPr>
            <xdr:cNvPr id="0" name=""/>
            <xdr:cNvSpPr>
              <a:spLocks noTextEdit="1"/>
            </xdr:cNvSpPr>
          </xdr:nvSpPr>
          <xdr:spPr>
            <a:xfrm>
              <a:off x="88003" y="7721584"/>
              <a:ext cx="9785793" cy="253576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308439</xdr:colOff>
      <xdr:row>42</xdr:row>
      <xdr:rowOff>55322</xdr:rowOff>
    </xdr:from>
    <xdr:to>
      <xdr:col>17</xdr:col>
      <xdr:colOff>15875</xdr:colOff>
      <xdr:row>56</xdr:row>
      <xdr:rowOff>63500</xdr:rowOff>
    </xdr:to>
    <mc:AlternateContent xmlns:mc="http://schemas.openxmlformats.org/markup-compatibility/2006" xmlns:a14="http://schemas.microsoft.com/office/drawing/2010/main">
      <mc:Choice Requires="a14">
        <xdr:graphicFrame macro="">
          <xdr:nvGraphicFramePr>
            <xdr:cNvPr id="16412" name="Theme">
              <a:extLst>
                <a:ext uri="{FF2B5EF4-FFF2-40B4-BE49-F238E27FC236}">
                  <a16:creationId xmlns:a16="http://schemas.microsoft.com/office/drawing/2014/main" id="{00000000-0008-0000-0100-00001C400000}"/>
                </a:ext>
              </a:extLst>
            </xdr:cNvPr>
            <xdr:cNvGraphicFramePr/>
          </xdr:nvGraphicFramePr>
          <xdr:xfrm>
            <a:off x="0" y="0"/>
            <a:ext cx="0" cy="0"/>
          </xdr:xfrm>
          <a:graphic>
            <a:graphicData uri="http://schemas.microsoft.com/office/drawing/2010/slicer">
              <sle:slicer xmlns:sle="http://schemas.microsoft.com/office/drawing/2010/slicer" name="Theme"/>
            </a:graphicData>
          </a:graphic>
        </xdr:graphicFrame>
      </mc:Choice>
      <mc:Fallback xmlns="">
        <xdr:sp macro="" textlink="">
          <xdr:nvSpPr>
            <xdr:cNvPr id="0" name=""/>
            <xdr:cNvSpPr>
              <a:spLocks noTextEdit="1"/>
            </xdr:cNvSpPr>
          </xdr:nvSpPr>
          <xdr:spPr>
            <a:xfrm>
              <a:off x="9865189" y="8056322"/>
              <a:ext cx="2723686" cy="267517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66687</xdr:colOff>
      <xdr:row>33</xdr:row>
      <xdr:rowOff>136071</xdr:rowOff>
    </xdr:from>
    <xdr:to>
      <xdr:col>20</xdr:col>
      <xdr:colOff>75759</xdr:colOff>
      <xdr:row>56</xdr:row>
      <xdr:rowOff>66674</xdr:rowOff>
    </xdr:to>
    <mc:AlternateContent xmlns:mc="http://schemas.openxmlformats.org/markup-compatibility/2006" xmlns:a14="http://schemas.microsoft.com/office/drawing/2010/main">
      <mc:Choice Requires="a14">
        <xdr:graphicFrame macro="">
          <xdr:nvGraphicFramePr>
            <xdr:cNvPr id="16413" name="Region">
              <a:extLst>
                <a:ext uri="{FF2B5EF4-FFF2-40B4-BE49-F238E27FC236}">
                  <a16:creationId xmlns:a16="http://schemas.microsoft.com/office/drawing/2014/main" id="{00000000-0008-0000-0100-00001D4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636512" y="6378106"/>
              <a:ext cx="1821997" cy="43533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83034</xdr:colOff>
      <xdr:row>33</xdr:row>
      <xdr:rowOff>136072</xdr:rowOff>
    </xdr:from>
    <xdr:to>
      <xdr:col>4</xdr:col>
      <xdr:colOff>571500</xdr:colOff>
      <xdr:row>42</xdr:row>
      <xdr:rowOff>48079</xdr:rowOff>
    </xdr:to>
    <mc:AlternateContent xmlns:mc="http://schemas.openxmlformats.org/markup-compatibility/2006" xmlns:a14="http://schemas.microsoft.com/office/drawing/2010/main">
      <mc:Choice Requires="a14">
        <xdr:graphicFrame macro="">
          <xdr:nvGraphicFramePr>
            <xdr:cNvPr id="16414" name="Year Published">
              <a:extLst>
                <a:ext uri="{FF2B5EF4-FFF2-40B4-BE49-F238E27FC236}">
                  <a16:creationId xmlns:a16="http://schemas.microsoft.com/office/drawing/2014/main" id="{00000000-0008-0000-0100-00001E400000}"/>
                </a:ext>
              </a:extLst>
            </xdr:cNvPr>
            <xdr:cNvGraphicFramePr/>
          </xdr:nvGraphicFramePr>
          <xdr:xfrm>
            <a:off x="0" y="0"/>
            <a:ext cx="0" cy="0"/>
          </xdr:xfrm>
          <a:graphic>
            <a:graphicData uri="http://schemas.microsoft.com/office/drawing/2010/slicer">
              <sle:slicer xmlns:sle="http://schemas.microsoft.com/office/drawing/2010/slicer" name="Year Published"/>
            </a:graphicData>
          </a:graphic>
        </xdr:graphicFrame>
      </mc:Choice>
      <mc:Fallback xmlns="">
        <xdr:sp macro="" textlink="">
          <xdr:nvSpPr>
            <xdr:cNvPr id="0" name=""/>
            <xdr:cNvSpPr>
              <a:spLocks noTextEdit="1"/>
            </xdr:cNvSpPr>
          </xdr:nvSpPr>
          <xdr:spPr>
            <a:xfrm>
              <a:off x="83034" y="6123215"/>
              <a:ext cx="2919609" cy="154486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419100</xdr:colOff>
      <xdr:row>7</xdr:row>
      <xdr:rowOff>9525</xdr:rowOff>
    </xdr:from>
    <xdr:to>
      <xdr:col>9</xdr:col>
      <xdr:colOff>114300</xdr:colOff>
      <xdr:row>21</xdr:row>
      <xdr:rowOff>174625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225425</xdr:colOff>
      <xdr:row>1</xdr:row>
      <xdr:rowOff>142875</xdr:rowOff>
    </xdr:from>
    <xdr:to>
      <xdr:col>10</xdr:col>
      <xdr:colOff>530225</xdr:colOff>
      <xdr:row>16</xdr:row>
      <xdr:rowOff>123825</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587375</xdr:colOff>
      <xdr:row>4</xdr:row>
      <xdr:rowOff>130175</xdr:rowOff>
    </xdr:from>
    <xdr:to>
      <xdr:col>8</xdr:col>
      <xdr:colOff>282575</xdr:colOff>
      <xdr:row>19</xdr:row>
      <xdr:rowOff>111125</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2615741" createdVersion="5" refreshedVersion="8" minRefreshableVersion="3" recordCount="0" supportSubquery="1" supportAdvancedDrill="1" xr:uid="{6C5D499E-7F6B-45E4-A213-00D6622149D5}">
  <cacheSource type="external" connectionId="3"/>
  <cacheFields count="3">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3888888" createdVersion="5" refreshedVersion="8" minRefreshableVersion="3" recordCount="0" supportSubquery="1" supportAdvancedDrill="1" xr:uid="{8F36C2C2-7ED6-4E9B-B77B-F3A1496841E1}">
  <cacheSource type="external" connectionId="3"/>
  <cacheFields count="3">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5277781" createdVersion="5" refreshedVersion="8" minRefreshableVersion="3" recordCount="0" supportSubquery="1" supportAdvancedDrill="1" xr:uid="{D4D89343-7E15-4C57-A0FC-F915E90231A7}">
  <cacheSource type="external" connectionId="3"/>
  <cacheFields count="3">
    <cacheField name="[Measures].[Count of PaperName]" caption="Count of PaperName" numFmtId="0" hierarchy="33" level="32767"/>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1"/>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6319443" createdVersion="5" refreshedVersion="8" minRefreshableVersion="3" recordCount="0" supportSubquery="1" supportAdvancedDrill="1" xr:uid="{F04F949C-6DE3-4E37-991D-8B900E98AA41}">
  <cacheSource type="external" connectionId="3"/>
  <cacheFields count="3">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7476851" createdVersion="5" refreshedVersion="8" minRefreshableVersion="3" recordCount="0" supportSubquery="1" supportAdvancedDrill="1" xr:uid="{BF5A05FB-B890-4A47-8446-74C63997DD33}">
  <cacheSource type="external" connectionId="3"/>
  <cacheFields count="3">
    <cacheField name="[Measures].[Distinct Count of PaperName]" caption="Distinct Count of PaperName" numFmtId="0" hierarchy="34" level="32767"/>
    <cacheField name="[DetailedTable].[4Ps].[4Ps]" caption="4Ps" numFmtId="0" hierarchy="9" level="1">
      <sharedItems count="4">
        <s v="Partnership"/>
        <s v="Prevention"/>
        <s v="Prosection"/>
        <s v="Protection"/>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1"/>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8055552" createdVersion="5" refreshedVersion="8" minRefreshableVersion="3" recordCount="0" supportSubquery="1" supportAdvancedDrill="1" xr:uid="{A724CC16-AF05-4AB0-91FF-1F9DE0F18F77}">
  <cacheSource type="external" connectionId="3"/>
  <cacheFields count="4">
    <cacheField name="[Measures].[Distinct Count of PaperName]" caption="Distinct Count of PaperName" numFmtId="0" hierarchy="34" level="32767"/>
    <cacheField name="[DetailedTable].[Data Type].[Data Type]" caption="Data Type" numFmtId="0" hierarchy="2" level="1">
      <sharedItems count="4">
        <s v="Mixed"/>
        <s v="N/A"/>
        <s v="Primary"/>
        <s v="Secondary (Publicly Available)"/>
      </sharedItems>
    </cacheField>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2"/>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1"/>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3"/>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8749999" createdVersion="5" refreshedVersion="8" minRefreshableVersion="3" recordCount="0" supportSubquery="1" supportAdvancedDrill="1" xr:uid="{211CD6C2-AC0C-4F74-8FF3-10D23A5D76DF}">
  <cacheSource type="external" connectionId="3"/>
  <cacheFields count="3">
    <cacheField name="[Measures].[Distinct Count of PaperName]" caption="Distinct Count of PaperName" numFmtId="0" hierarchy="34" level="32767"/>
    <cacheField name="[DetailedTable].[Category].[Category]" caption="Category" numFmtId="0" hierarchy="3" level="1">
      <sharedItems count="3">
        <s v="Analytics"/>
        <s v="Operations Research"/>
        <s v="Position / Thought"/>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fieldsUsage count="2">
        <fieldUsage x="-1"/>
        <fieldUsage x="1"/>
      </fieldsUsage>
    </cacheHierarchy>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9444445" createdVersion="5" refreshedVersion="8" minRefreshableVersion="3" recordCount="0" supportSubquery="1" supportAdvancedDrill="1" xr:uid="{58FD7B4B-2E25-4B6D-9910-04710D3C677E}">
  <cacheSource type="external" connectionId="3"/>
  <cacheFields count="3">
    <cacheField name="[Measures].[Count of PaperName]" caption="Count of PaperName" numFmtId="0" hierarchy="33" level="32767"/>
    <cacheField name="[DetailedTable].[Context].[Context]" caption="Context" numFmtId="0" hierarchy="1" level="1">
      <sharedItems count="3">
        <s v="General"/>
        <s v="Labor Trafficking"/>
        <s v="Sex Trafficking"/>
      </sharedItems>
    </cacheField>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fieldsUsage count="2">
        <fieldUsage x="-1"/>
        <fieldUsage x="1"/>
      </fieldsUsage>
    </cacheHierarchy>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oneField="1" hidden="1">
      <fieldsUsage count="1">
        <fieldUsage x="0"/>
      </fieldsUsage>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70138892" createdVersion="5" refreshedVersion="8" minRefreshableVersion="3" recordCount="0" supportSubquery="1" supportAdvancedDrill="1" xr:uid="{E8B16384-8E4A-41D5-A32C-180CF0AF5568}">
  <cacheSource type="external" connectionId="3"/>
  <cacheFields count="3">
    <cacheField name="[DetailedTable].[Data Type].[Data Type]" caption="Data Type" numFmtId="0" hierarchy="2" level="1">
      <sharedItems count="4">
        <s v="Mixed"/>
        <s v="N/A"/>
        <s v="Primary"/>
        <s v="Secondary (Publicly Available)"/>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fieldsUsage count="2">
        <fieldUsage x="-1"/>
        <fieldUsage x="0"/>
      </fieldsUsage>
    </cacheHierarchy>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70949077" createdVersion="5" refreshedVersion="8" minRefreshableVersion="3" recordCount="0" supportSubquery="1" supportAdvancedDrill="1" xr:uid="{34D90730-6465-4FFA-9354-AB646B1047D1}">
  <cacheSource type="external" connectionId="3"/>
  <cacheFields count="3">
    <cacheField name="[DetailedTable].[4Ps].[4Ps]" caption="4Ps" numFmtId="0" hierarchy="9" level="1">
      <sharedItems count="4">
        <s v="Partnership"/>
        <s v="Prevention"/>
        <s v="Prosection"/>
        <s v="Protection"/>
      </sharedItems>
    </cacheField>
    <cacheField name="[Measures].[Distinct Count of PaperName]" caption="Distinct Count of PaperName" numFmtId="0" hierarchy="34" level="32767"/>
    <cacheField name="[DetailedTable].[Year Published].[Year Published]" caption="Year Published" numFmtId="0" hierarchy="4" level="1">
      <sharedItems containsSemiMixedTypes="0" containsNonDate="0" containsString="0"/>
    </cacheField>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2"/>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fieldsUsage count="2">
        <fieldUsage x="-1"/>
        <fieldUsage x="0"/>
      </fieldsUsage>
    </cacheHierarchy>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8576203704" createdVersion="5" refreshedVersion="8" minRefreshableVersion="3" recordCount="0" supportSubquery="1" supportAdvancedDrill="1" xr:uid="{D02F69FF-4153-43F3-99D4-064A366EC020}">
  <cacheSource type="external" connectionId="3"/>
  <cacheFields count="2">
    <cacheField name="[DetailedTable].[Year Published].[Year Published]" caption="Year Published" numFmtId="0" hierarchy="4" level="1">
      <sharedItems containsSemiMixedTypes="0" containsString="0" containsNumber="1" containsInteger="1" minValue="2010" maxValue="2021" count="12">
        <n v="2010"/>
        <n v="2011"/>
        <n v="2012"/>
        <n v="2013"/>
        <n v="2014"/>
        <n v="2015"/>
        <n v="2016"/>
        <n v="2017"/>
        <n v="2018"/>
        <n v="2019"/>
        <n v="2020"/>
        <n v="2021"/>
      </sharedItems>
      <extLst>
        <ext xmlns:x15="http://schemas.microsoft.com/office/spreadsheetml/2010/11/main" uri="{4F2E5C28-24EA-4eb8-9CBF-B6C8F9C3D259}">
          <x15:cachedUniqueNames>
            <x15:cachedUniqueName index="0" name="[DetailedTable].[Year Published].&amp;[2010]"/>
            <x15:cachedUniqueName index="1" name="[DetailedTable].[Year Published].&amp;[2011]"/>
            <x15:cachedUniqueName index="2" name="[DetailedTable].[Year Published].&amp;[2012]"/>
            <x15:cachedUniqueName index="3" name="[DetailedTable].[Year Published].&amp;[2013]"/>
            <x15:cachedUniqueName index="4" name="[DetailedTable].[Year Published].&amp;[2014]"/>
            <x15:cachedUniqueName index="5" name="[DetailedTable].[Year Published].&amp;[2015]"/>
            <x15:cachedUniqueName index="6" name="[DetailedTable].[Year Published].&amp;[2016]"/>
            <x15:cachedUniqueName index="7" name="[DetailedTable].[Year Published].&amp;[2017]"/>
            <x15:cachedUniqueName index="8" name="[DetailedTable].[Year Published].&amp;[2018]"/>
            <x15:cachedUniqueName index="9" name="[DetailedTable].[Year Published].&amp;[2019]"/>
            <x15:cachedUniqueName index="10" name="[DetailedTable].[Year Published].&amp;[2020]"/>
            <x15:cachedUniqueName index="11" name="[DetailedTable].[Year Published].&amp;[2021]"/>
          </x15:cachedUniqueNames>
        </ext>
      </extLst>
    </cacheField>
    <cacheField name="[Measures].[Distinct Count of PaperName]" caption="Distinct Count of PaperName" numFmtId="0" hierarchy="34" level="32767"/>
  </cacheFields>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fieldsUsage count="2">
        <fieldUsage x="-1"/>
        <fieldUsage x="0"/>
      </fieldsUsage>
    </cacheHierarchy>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oneField="1" hidden="1">
      <fieldsUsage count="1">
        <fieldUsage x="1"/>
      </fieldsUsage>
      <extLst>
        <ext xmlns:x15="http://schemas.microsoft.com/office/spreadsheetml/2010/11/main" uri="{B97F6D7D-B522-45F9-BDA1-12C45D357490}">
          <x15:cacheHierarchy aggregatedColumn="0"/>
        </ext>
      </extLst>
    </cacheHierarchy>
  </cacheHierarchies>
  <kpis count="0"/>
  <dimensions count="3">
    <dimension name="DetailedTable" uniqueName="[DetailedTable]" caption="DetailedTable"/>
    <dimension name="DetailedTable 1" uniqueName="[DetailedTable 1]" caption="DetailedTable 1"/>
    <dimension measure="1" name="Measures" uniqueName="[Measures]" caption="Measures"/>
  </dimensions>
  <measureGroups count="2">
    <measureGroup name="DetailedTable" caption="DetailedTable"/>
    <measureGroup name="DetailedTable 1" caption="DetailedTable 1"/>
  </measureGroups>
  <maps count="2">
    <map measureGroup="0" dimension="0"/>
    <map measureGroup="1"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gerid" refreshedDate="44802.350531481483" createdVersion="3" refreshedVersion="8" minRefreshableVersion="3" recordCount="0" supportSubquery="1" supportAdvancedDrill="1" xr:uid="{AC6891EA-5E81-4D92-BC85-1844E93F2845}">
  <cacheSource type="external" connectionId="3">
    <extLst>
      <ext xmlns:x14="http://schemas.microsoft.com/office/spreadsheetml/2009/9/main" uri="{F057638F-6D5F-4e77-A914-E7F072B9BCA8}">
        <x14:sourceConnection name="ThisWorkbookDataModel"/>
      </ext>
    </extLst>
  </cacheSource>
  <cacheFields count="0"/>
  <cacheHierarchies count="35">
    <cacheHierarchy uniqueName="[DetailedTable].[PaperName]" caption="PaperName" attribute="1" defaultMemberUniqueName="[DetailedTable].[PaperName].[All]" allUniqueName="[DetailedTable].[PaperName].[All]" dimensionUniqueName="[DetailedTable]" displayFolder="" count="2" memberValueDatatype="130" unbalanced="0"/>
    <cacheHierarchy uniqueName="[DetailedTable].[Context]" caption="Context" attribute="1" defaultMemberUniqueName="[DetailedTable].[Context].[All]" allUniqueName="[DetailedTable].[Context].[All]" dimensionUniqueName="[DetailedTable]" displayFolder="" count="2" memberValueDatatype="130" unbalanced="0"/>
    <cacheHierarchy uniqueName="[DetailedTable].[Data Type]" caption="Data Type" attribute="1" defaultMemberUniqueName="[DetailedTable].[Data Type].[All]" allUniqueName="[DetailedTable].[Data Type].[All]" dimensionUniqueName="[DetailedTable]" displayFolder="" count="2" memberValueDatatype="130" unbalanced="0"/>
    <cacheHierarchy uniqueName="[DetailedTable].[Category]" caption="Category" attribute="1" defaultMemberUniqueName="[DetailedTable].[Category].[All]" allUniqueName="[DetailedTable].[Category].[All]" dimensionUniqueName="[DetailedTable]" displayFolder="" count="2" memberValueDatatype="130" unbalanced="0"/>
    <cacheHierarchy uniqueName="[DetailedTable].[Year Published]" caption="Year Published" attribute="1" defaultMemberUniqueName="[DetailedTable].[Year Published].[All]" allUniqueName="[DetailedTable].[Year Published].[All]" dimensionUniqueName="[DetailedTable]" displayFolder="" count="2" memberValueDatatype="20" unbalanced="0"/>
    <cacheHierarchy uniqueName="[DetailedTable].[Demographics]" caption="Demographics" attribute="1" defaultMemberUniqueName="[DetailedTable].[Demographics].[All]" allUniqueName="[DetailedTable].[Demographics].[All]" dimensionUniqueName="[DetailedTable]" displayFolder="" count="2" memberValueDatatype="130" unbalanced="0"/>
    <cacheHierarchy uniqueName="[DetailedTable].[Value]" caption="Value" attribute="1" defaultMemberUniqueName="[DetailedTable].[Value].[All]" allUniqueName="[DetailedTable].[Value].[All]" dimensionUniqueName="[DetailedTable]" displayFolder="" count="0" memberValueDatatype="20" unbalanced="0"/>
    <cacheHierarchy uniqueName="[DetailedTable].[Region]" caption="Region" attribute="1" defaultMemberUniqueName="[DetailedTable].[Region].[All]" allUniqueName="[DetailedTable].[Region].[All]" dimensionUniqueName="[DetailedTable]" displayFolder="" count="2" memberValueDatatype="130" unbalanced="0"/>
    <cacheHierarchy uniqueName="[DetailedTable].[Value.1]" caption="Value.1" attribute="1" defaultMemberUniqueName="[DetailedTable].[Value.1].[All]" allUniqueName="[DetailedTable].[Value.1].[All]" dimensionUniqueName="[DetailedTable]" displayFolder="" count="0" memberValueDatatype="20" unbalanced="0"/>
    <cacheHierarchy uniqueName="[DetailedTable].[4Ps]" caption="4Ps" attribute="1" defaultMemberUniqueName="[DetailedTable].[4Ps].[All]" allUniqueName="[DetailedTable].[4Ps].[All]" dimensionUniqueName="[DetailedTable]" displayFolder="" count="2" memberValueDatatype="130" unbalanced="0"/>
    <cacheHierarchy uniqueName="[DetailedTable].[Value.2]" caption="Value.2" attribute="1" defaultMemberUniqueName="[DetailedTable].[Value.2].[All]" allUniqueName="[DetailedTable].[Value.2].[All]" dimensionUniqueName="[DetailedTable]" displayFolder="" count="0" memberValueDatatype="20" unbalanced="0"/>
    <cacheHierarchy uniqueName="[DetailedTable].[Theme]" caption="Theme" attribute="1" defaultMemberUniqueName="[DetailedTable].[Theme].[All]" allUniqueName="[DetailedTable].[Theme].[All]" dimensionUniqueName="[DetailedTable]" displayFolder="" count="2" memberValueDatatype="130" unbalanced="0"/>
    <cacheHierarchy uniqueName="[DetailedTable].[Value.3]" caption="Value.3" attribute="1" defaultMemberUniqueName="[DetailedTable].[Value.3].[All]" allUniqueName="[DetailedTable].[Value.3].[All]" dimensionUniqueName="[DetailedTable]" displayFolder="" count="0" memberValueDatatype="20" unbalanced="0"/>
    <cacheHierarchy uniqueName="[DetailedTable].[Methods]" caption="Methods" attribute="1" defaultMemberUniqueName="[DetailedTable].[Methods].[All]" allUniqueName="[DetailedTable].[Methods].[All]" dimensionUniqueName="[DetailedTable]" displayFolder="" count="2" memberValueDatatype="130" unbalanced="0"/>
    <cacheHierarchy uniqueName="[DetailedTable].[Value.4]" caption="Value.4" attribute="1" defaultMemberUniqueName="[DetailedTable].[Value.4].[All]" allUniqueName="[DetailedTable].[Value.4].[All]" dimensionUniqueName="[DetailedTable]" displayFolder="" count="0" memberValueDatatype="20" unbalanced="0"/>
    <cacheHierarchy uniqueName="[DetailedTable 1].[PaperName]" caption="PaperName" attribute="1" defaultMemberUniqueName="[DetailedTable 1].[PaperName].[All]" allUniqueName="[DetailedTable 1].[PaperName].[All]" dimensionUniqueName="[DetailedTable 1]" displayFolder="" count="0" memberValueDatatype="130" unbalanced="0"/>
    <cacheHierarchy uniqueName="[DetailedTable 1].[Context]" caption="Context" attribute="1" defaultMemberUniqueName="[DetailedTable 1].[Context].[All]" allUniqueName="[DetailedTable 1].[Context].[All]" dimensionUniqueName="[DetailedTable 1]" displayFolder="" count="0" memberValueDatatype="130" unbalanced="0"/>
    <cacheHierarchy uniqueName="[DetailedTable 1].[Data Type]" caption="Data Type" attribute="1" defaultMemberUniqueName="[DetailedTable 1].[Data Type].[All]" allUniqueName="[DetailedTable 1].[Data Type].[All]" dimensionUniqueName="[DetailedTable 1]" displayFolder="" count="0" memberValueDatatype="130" unbalanced="0"/>
    <cacheHierarchy uniqueName="[DetailedTable 1].[Category]" caption="Category" attribute="1" defaultMemberUniqueName="[DetailedTable 1].[Category].[All]" allUniqueName="[DetailedTable 1].[Category].[All]" dimensionUniqueName="[DetailedTable 1]" displayFolder="" count="0" memberValueDatatype="130" unbalanced="0"/>
    <cacheHierarchy uniqueName="[DetailedTable 1].[Year Published]" caption="Year Published" attribute="1" defaultMemberUniqueName="[DetailedTable 1].[Year Published].[All]" allUniqueName="[DetailedTable 1].[Year Published].[All]" dimensionUniqueName="[DetailedTable 1]" displayFolder="" count="0" memberValueDatatype="20" unbalanced="0"/>
    <cacheHierarchy uniqueName="[DetailedTable 1].[Demographics]" caption="Demographics" attribute="1" defaultMemberUniqueName="[DetailedTable 1].[Demographics].[All]" allUniqueName="[DetailedTable 1].[Demographics].[All]" dimensionUniqueName="[DetailedTable 1]" displayFolder="" count="0" memberValueDatatype="130" unbalanced="0"/>
    <cacheHierarchy uniqueName="[DetailedTable 1].[Value]" caption="Value" attribute="1" defaultMemberUniqueName="[DetailedTable 1].[Value].[All]" allUniqueName="[DetailedTable 1].[Value].[All]" dimensionUniqueName="[DetailedTable 1]" displayFolder="" count="0" memberValueDatatype="20" unbalanced="0"/>
    <cacheHierarchy uniqueName="[DetailedTable 1].[Region]" caption="Region" attribute="1" defaultMemberUniqueName="[DetailedTable 1].[Region].[All]" allUniqueName="[DetailedTable 1].[Region].[All]" dimensionUniqueName="[DetailedTable 1]" displayFolder="" count="0" memberValueDatatype="130" unbalanced="0"/>
    <cacheHierarchy uniqueName="[DetailedTable 1].[Value.1]" caption="Value.1" attribute="1" defaultMemberUniqueName="[DetailedTable 1].[Value.1].[All]" allUniqueName="[DetailedTable 1].[Value.1].[All]" dimensionUniqueName="[DetailedTable 1]" displayFolder="" count="0" memberValueDatatype="20" unbalanced="0"/>
    <cacheHierarchy uniqueName="[DetailedTable 1].[4Ps]" caption="4Ps" attribute="1" defaultMemberUniqueName="[DetailedTable 1].[4Ps].[All]" allUniqueName="[DetailedTable 1].[4Ps].[All]" dimensionUniqueName="[DetailedTable 1]" displayFolder="" count="0" memberValueDatatype="130" unbalanced="0"/>
    <cacheHierarchy uniqueName="[DetailedTable 1].[Value.2]" caption="Value.2" attribute="1" defaultMemberUniqueName="[DetailedTable 1].[Value.2].[All]" allUniqueName="[DetailedTable 1].[Value.2].[All]" dimensionUniqueName="[DetailedTable 1]" displayFolder="" count="0" memberValueDatatype="20" unbalanced="0"/>
    <cacheHierarchy uniqueName="[DetailedTable 1].[Theme]" caption="Theme" attribute="1" defaultMemberUniqueName="[DetailedTable 1].[Theme].[All]" allUniqueName="[DetailedTable 1].[Theme].[All]" dimensionUniqueName="[DetailedTable 1]" displayFolder="" count="0" memberValueDatatype="130" unbalanced="0"/>
    <cacheHierarchy uniqueName="[DetailedTable 1].[Value.3]" caption="Value.3" attribute="1" defaultMemberUniqueName="[DetailedTable 1].[Value.3].[All]" allUniqueName="[DetailedTable 1].[Value.3].[All]" dimensionUniqueName="[DetailedTable 1]" displayFolder="" count="0" memberValueDatatype="20" unbalanced="0"/>
    <cacheHierarchy uniqueName="[DetailedTable 1].[Methods]" caption="Methods" attribute="1" defaultMemberUniqueName="[DetailedTable 1].[Methods].[All]" allUniqueName="[DetailedTable 1].[Methods].[All]" dimensionUniqueName="[DetailedTable 1]" displayFolder="" count="0" memberValueDatatype="130" unbalanced="0"/>
    <cacheHierarchy uniqueName="[DetailedTable 1].[Value.4]" caption="Value.4" attribute="1" defaultMemberUniqueName="[DetailedTable 1].[Value.4].[All]" allUniqueName="[DetailedTable 1].[Value.4].[All]" dimensionUniqueName="[DetailedTable 1]" displayFolder="" count="0" memberValueDatatype="20" unbalanced="0"/>
    <cacheHierarchy uniqueName="[Measures].[__XL_Count DetailedTable]" caption="__XL_Count DetailedTable" measure="1" displayFolder="" measureGroup="DetailedTable" count="0" hidden="1"/>
    <cacheHierarchy uniqueName="[Measures].[__XL_Count DetailedTable 1]" caption="__XL_Count DetailedTable 1" measure="1" displayFolder="" measureGroup="DetailedTable 1" count="0" hidden="1"/>
    <cacheHierarchy uniqueName="[Measures].[__No measures defined]" caption="__No measures defined" measure="1" displayFolder="" count="0" hidden="1"/>
    <cacheHierarchy uniqueName="[Measures].[Count of PaperName]" caption="Count of PaperName" measure="1" displayFolder="" measureGroup="DetailedTable" count="0" hidden="1">
      <extLst>
        <ext xmlns:x15="http://schemas.microsoft.com/office/spreadsheetml/2010/11/main" uri="{B97F6D7D-B522-45F9-BDA1-12C45D357490}">
          <x15:cacheHierarchy aggregatedColumn="0"/>
        </ext>
      </extLst>
    </cacheHierarchy>
    <cacheHierarchy uniqueName="[Measures].[Distinct Count of PaperName]" caption="Distinct Count of PaperName" measure="1" displayFolder="" measureGroup="DetailedTable" count="0" hidden="1">
      <extLst>
        <ext xmlns:x15="http://schemas.microsoft.com/office/spreadsheetml/2010/11/main" uri="{B97F6D7D-B522-45F9-BDA1-12C45D357490}">
          <x15:cacheHierarchy aggregatedColumn="0"/>
        </ext>
      </extLst>
    </cacheHierarchy>
  </cacheHierarchies>
  <kpis count="0"/>
  <extLst>
    <ext xmlns:x14="http://schemas.microsoft.com/office/spreadsheetml/2009/9/main" uri="{725AE2AE-9491-48be-B2B4-4EB974FC3084}">
      <x14:pivotCacheDefinition slicerData="1" pivotCacheId="117775527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075E1E-2CBF-426A-8813-02DF172564B3}" name="PivotTable68" cacheId="2" applyNumberFormats="0" applyBorderFormats="0" applyFontFormats="0" applyPatternFormats="0" applyAlignmentFormats="0" applyWidthHeightFormats="1" dataCaption="Values" tag="56fff2ed-1ab8-42ca-b31b-c9af4466bffc" updatedVersion="8" minRefreshableVersion="3" rowGrandTotals="0" colGrandTotals="0" itemPrintTitles="1" createdVersion="5" indent="0" multipleFieldFilters="0" rowHeaderCaption="Context">
  <location ref="K18:L21"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dataFields>
  <formats count="4">
    <format dxfId="30">
      <pivotArea outline="0" collapsedLevelsAreSubtotals="1" fieldPosition="0"/>
    </format>
    <format dxfId="29">
      <pivotArea dataOnly="0" labelOnly="1" outline="0" axis="axisValues" fieldPosition="0"/>
    </format>
    <format dxfId="28">
      <pivotArea outline="0" collapsedLevelsAreSubtotals="1" fieldPosition="0"/>
    </format>
    <format dxfId="27">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studies"/>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0C51C27-8BC5-4957-A100-463CE91FA7FD}" name="PivotTable67" cacheId="1" applyNumberFormats="0" applyBorderFormats="0" applyFontFormats="0" applyPatternFormats="0" applyAlignmentFormats="0" applyWidthHeightFormats="1" dataCaption="Values" tag="c86ab12d-182b-4f02-aee3-2a8e9da73421" updatedVersion="8" minRefreshableVersion="3" rowGrandTotals="0" colGrandTotals="0" itemPrintTitles="1" createdVersion="5" indent="0" multipleFieldFilters="0" rowHeaderCaption="Data Type">
  <location ref="I24:J2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34">
      <pivotArea outline="0" collapsedLevelsAreSubtotals="1" fieldPosition="0"/>
    </format>
    <format dxfId="33">
      <pivotArea dataOnly="0" labelOnly="1" outline="0" axis="axisValues" fieldPosition="0"/>
    </format>
    <format dxfId="32">
      <pivotArea outline="0" collapsedLevelsAreSubtotals="1" fieldPosition="0"/>
    </format>
    <format dxfId="31">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3E2A3B4-D38E-40D6-934C-9869117E05DC}" name="PivotTable66" cacheId="0" applyNumberFormats="0" applyBorderFormats="0" applyFontFormats="0" applyPatternFormats="0" applyAlignmentFormats="0" applyWidthHeightFormats="1" dataCaption="Values" tag="82379904-cf65-4588-b450-a9c1d7687b61" updatedVersion="8" minRefreshableVersion="3" rowGrandTotals="0" colGrandTotals="0" itemPrintTitles="1" createdVersion="5" indent="0" multipleFieldFilters="0" rowHeaderCaption="4Ps">
  <location ref="K24:L28"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studies" fld="1" subtotal="count" showDataAs="percentOfTotal" baseField="0" baseItem="0" numFmtId="10">
      <extLst>
        <ext xmlns:x15="http://schemas.microsoft.com/office/spreadsheetml/2010/11/main" uri="{FABC7310-3BB5-11E1-824E-6D434824019B}">
          <x15:dataField isCountDistinct="1"/>
        </ext>
      </extLst>
    </dataField>
  </dataFields>
  <formats count="4">
    <format dxfId="38">
      <pivotArea outline="0" collapsedLevelsAreSubtotals="1" fieldPosition="0"/>
    </format>
    <format dxfId="37">
      <pivotArea dataOnly="0" labelOnly="1" outline="0" axis="axisValues" fieldPosition="0"/>
    </format>
    <format dxfId="36">
      <pivotArea outline="0" collapsedLevelsAreSubtotals="1" fieldPosition="0"/>
    </format>
    <format dxfId="35">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ABB706-254F-4D13-A363-8E6B30D269DC}" name="PivotTable69" cacheId="3" applyNumberFormats="0" applyBorderFormats="0" applyFontFormats="0" applyPatternFormats="0" applyAlignmentFormats="0" applyWidthHeightFormats="1" dataCaption="Values" tag="81a1bd09-6e93-492c-914a-68afaf5ba13a" updatedVersion="8" minRefreshableVersion="3" rowGrandTotals="0" colGrandTotals="0" itemPrintTitles="1" createdVersion="5" indent="0" multipleFieldFilters="0" rowHeaderCaption="Category">
  <location ref="I18:J21" firstHeaderRow="1" firstDataRow="1" firstDataCol="1"/>
  <pivotFields count="3">
    <pivotField dataField="1" showAll="0"/>
    <pivotField axis="axisRow" allDrilled="1" showAll="0" dataSourceSort="1" defaultAttributeDrillState="1">
      <items count="4">
        <item x="0"/>
        <item n="Operations Research" x="1"/>
        <item x="2"/>
        <item t="default"/>
      </items>
    </pivotField>
    <pivotField allDrilled="1" showAll="0" dataSourceSort="1" defaultAttributeDrillState="1"/>
  </pivotFields>
  <rowFields count="1">
    <field x="1"/>
  </rowFields>
  <rowItems count="3">
    <i>
      <x/>
    </i>
    <i>
      <x v="1"/>
    </i>
    <i>
      <x v="2"/>
    </i>
  </rowItems>
  <colItems count="1">
    <i/>
  </colItems>
  <dataFields count="1">
    <dataField name="% studies" fld="0" subtotal="count" showDataAs="percentOfTotal" baseField="1" baseItem="0" numFmtId="10">
      <extLst>
        <ext xmlns:x15="http://schemas.microsoft.com/office/spreadsheetml/2010/11/main" uri="{FABC7310-3BB5-11E1-824E-6D434824019B}">
          <x15:dataField isCountDistinct="1"/>
        </ext>
      </extLst>
    </dataField>
  </dataFields>
  <formats count="4">
    <format dxfId="42">
      <pivotArea outline="0" collapsedLevelsAreSubtotals="1" fieldPosition="0"/>
    </format>
    <format dxfId="41">
      <pivotArea dataOnly="0" labelOnly="1" outline="0" axis="axisValues" fieldPosition="0"/>
    </format>
    <format dxfId="40">
      <pivotArea outline="0" collapsedLevelsAreSubtotals="1" fieldPosition="0"/>
    </format>
    <format dxfId="39">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studies"/>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5F4774A-B1BF-40A5-AE03-6A2AAAAD5842}" name="PivotTable60" cacheId="8" applyNumberFormats="0" applyBorderFormats="0" applyFontFormats="0" applyPatternFormats="0" applyAlignmentFormats="0" applyWidthHeightFormats="1" dataCaption="Values" tag="cc7b3bd6-2db4-4e20-be18-ed7c4cd4ab02" updatedVersion="8" minRefreshableVersion="3" rowGrandTotals="0" colGrandTotals="0" itemPrintTitles="1" createdVersion="5" indent="0" multipleFieldFilters="0" rowHeaderCaption="Data Type">
  <location ref="B9:C13"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4">
    <format dxfId="13">
      <pivotArea outline="0" collapsedLevelsAreSubtotals="1" fieldPosition="0"/>
    </format>
    <format dxfId="12">
      <pivotArea dataOnly="0" labelOnly="1" outline="0" axis="axisValues" fieldPosition="0"/>
    </format>
    <format dxfId="11">
      <pivotArea outline="0" collapsedLevelsAreSubtotals="1" fieldPosition="0"/>
    </format>
    <format dxfId="10">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911B4AE-D4DC-4C36-8599-1E164E7E8D93}" name="PivotTable59" cacheId="7" applyNumberFormats="0" applyBorderFormats="0" applyFontFormats="0" applyPatternFormats="0" applyAlignmentFormats="0" applyWidthHeightFormats="1" dataCaption="Values" tag="7eb9faea-8f2c-485c-a034-62121b46bfbd" updatedVersion="8" minRefreshableVersion="3" rowGrandTotals="0" colGrandTotals="0" itemPrintTitles="1" createdVersion="5" indent="0" multipleFieldFilters="0" rowHeaderCaption="Context">
  <location ref="D3:E6"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dataFields>
  <formats count="4">
    <format dxfId="17">
      <pivotArea outline="0" collapsedLevelsAreSubtotals="1" fieldPosition="0"/>
    </format>
    <format dxfId="16">
      <pivotArea dataOnly="0" labelOnly="1" outline="0" axis="axisValues" fieldPosition="0"/>
    </format>
    <format dxfId="15">
      <pivotArea outline="0" collapsedLevelsAreSubtotals="1" fieldPosition="0"/>
    </format>
    <format dxfId="14">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caption="%"/>
    <pivotHierarchy dragToData="1"/>
  </pivotHierarchies>
  <pivotTableStyleInfo name="PivotStyleLight16" showRowHeaders="1" showColHeaders="1" showRowStripes="0" showColStripes="0" showLastColumn="1"/>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0892C3-0F39-4A27-995D-27F47D9B8E3E}" name="PivotTable58" cacheId="6" applyNumberFormats="0" applyBorderFormats="0" applyFontFormats="0" applyPatternFormats="0" applyAlignmentFormats="0" applyWidthHeightFormats="1" dataCaption="Values" tag="537169c2-553b-42dc-bdd1-681d37dd68e6" updatedVersion="8" minRefreshableVersion="3" rowGrandTotals="0" colGrandTotals="0" itemPrintTitles="1" createdVersion="5" indent="0" multipleFieldFilters="0" rowHeaderCaption="Category">
  <location ref="B3:C6" firstHeaderRow="1" firstDataRow="1" firstDataCol="1"/>
  <pivotFields count="3">
    <pivotField dataField="1" showAll="0"/>
    <pivotField axis="axisRow" allDrilled="1" showAll="0" dataSourceSort="1" defaultAttributeDrillState="1">
      <items count="4">
        <item x="0"/>
        <item x="1"/>
        <item x="2"/>
        <item t="default"/>
      </items>
    </pivotField>
    <pivotField allDrilled="1" showAll="0" dataSourceSort="1" defaultAttributeDrillState="1"/>
  </pivotFields>
  <rowFields count="1">
    <field x="1"/>
  </rowFields>
  <rowItems count="3">
    <i>
      <x/>
    </i>
    <i>
      <x v="1"/>
    </i>
    <i>
      <x v="2"/>
    </i>
  </rowItems>
  <colItems count="1">
    <i/>
  </colItems>
  <dataFields count="1">
    <dataField name="%" fld="0" subtotal="count" showDataAs="percentOfTotal" baseField="1" baseItem="0" numFmtId="10">
      <extLst>
        <ext xmlns:x15="http://schemas.microsoft.com/office/spreadsheetml/2010/11/main" uri="{FABC7310-3BB5-11E1-824E-6D434824019B}">
          <x15:dataField isCountDistinct="1"/>
        </ext>
      </extLst>
    </dataField>
  </dataFields>
  <formats count="4">
    <format dxfId="21">
      <pivotArea outline="0" collapsedLevelsAreSubtotals="1" fieldPosition="0"/>
    </format>
    <format dxfId="20">
      <pivotArea dataOnly="0" labelOnly="1" outline="0" axis="axisValues" fieldPosition="0"/>
    </format>
    <format dxfId="19">
      <pivotArea outline="0" collapsedLevelsAreSubtotals="1" fieldPosition="0"/>
    </format>
    <format dxfId="18">
      <pivotArea dataOnly="0" labelOnly="1" outline="0" axis="axisValues" fieldPosition="0"/>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6126FF7-421F-4D81-A38D-C766FCD33AB1}" name="PivotTable61" cacheId="9" applyNumberFormats="0" applyBorderFormats="0" applyFontFormats="0" applyPatternFormats="0" applyAlignmentFormats="0" applyWidthHeightFormats="1" dataCaption="Values" tag="c50dc481-43b1-4408-9104-1643b6c6a2ff" updatedVersion="8" minRefreshableVersion="3" rowGrandTotals="0" colGrandTotals="0" itemPrintTitles="1" createdVersion="5" indent="0" multipleFieldFilters="0" rowHeaderCaption="4Ps">
  <location ref="D9:E13" firstHeaderRow="1" firstDataRow="1" firstDataCol="1"/>
  <pivotFields count="3">
    <pivotField axis="axisRow" allDrilled="1" showAll="0" dataSourceSort="1" defaultAttributeDrillState="1">
      <items count="5">
        <item x="0"/>
        <item x="1"/>
        <item x="2"/>
        <item x="3"/>
        <item t="default"/>
      </items>
    </pivotField>
    <pivotField dataField="1" showAll="0"/>
    <pivotField allDrilled="1" showAll="0" dataSourceSort="1" defaultAttributeDrillState="1"/>
  </pivotFields>
  <rowFields count="1">
    <field x="0"/>
  </rowFields>
  <rowItems count="4">
    <i>
      <x/>
    </i>
    <i>
      <x v="1"/>
    </i>
    <i>
      <x v="2"/>
    </i>
    <i>
      <x v="3"/>
    </i>
  </rowItems>
  <colItems count="1">
    <i/>
  </colItems>
  <dataFields count="1">
    <dataField name="%" fld="1" subtotal="count" showDataAs="percentOfTotal" baseField="0" baseItem="0" numFmtId="10">
      <extLst>
        <ext xmlns:x15="http://schemas.microsoft.com/office/spreadsheetml/2010/11/main" uri="{FABC7310-3BB5-11E1-824E-6D434824019B}">
          <x15:dataField isCountDistinct="1"/>
        </ext>
      </extLst>
    </dataField>
  </dataFields>
  <formats count="5">
    <format dxfId="26">
      <pivotArea outline="0" collapsedLevelsAreSubtotals="1" fieldPosition="0"/>
    </format>
    <format dxfId="25">
      <pivotArea dataOnly="0" labelOnly="1" outline="0" axis="axisValues" fieldPosition="0"/>
    </format>
    <format dxfId="24">
      <pivotArea outline="0" collapsedLevelsAreSubtotals="1" fieldPosition="0"/>
    </format>
    <format dxfId="23">
      <pivotArea dataOnly="0" labelOnly="1" outline="0" axis="axisValues" fieldPosition="0"/>
    </format>
    <format dxfId="22">
      <pivotArea outline="0" fieldPosition="0">
        <references count="1">
          <reference field="4294967294" count="1">
            <x v="0"/>
          </reference>
        </references>
      </pivotArea>
    </format>
  </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A6BDD28-128F-4F87-9246-88AE878F58A0}" name="PivotTable57" cacheId="5" applyNumberFormats="0" applyBorderFormats="0" applyFontFormats="0" applyPatternFormats="0" applyAlignmentFormats="0" applyWidthHeightFormats="1" dataCaption="Values" tag="ace31d17-d0bc-4b7d-8177-61bebbd227d9" updatedVersion="8" minRefreshableVersion="3" itemPrintTitles="1" createdVersion="5" indent="0" multipleFieldFilters="0" chartFormat="5">
  <location ref="A1:F6" firstHeaderRow="1" firstDataRow="2" firstDataCol="1"/>
  <pivotFields count="4">
    <pivotField dataField="1" showAll="0"/>
    <pivotField axis="axisCol" allDrilled="1" showAll="0" dataSourceSort="1" defaultAttributeDrillState="1">
      <items count="5">
        <item x="0"/>
        <item x="1"/>
        <item x="2"/>
        <item x="3"/>
        <item t="default"/>
      </items>
    </pivotField>
    <pivotField axis="axisRow" allDrilled="1" showAll="0" dataSourceSort="1" defaultAttributeDrillState="1">
      <items count="4">
        <item x="0"/>
        <item x="1"/>
        <item x="2"/>
        <item t="default"/>
      </items>
    </pivotField>
    <pivotField allDrilled="1" showAll="0" dataSourceSort="1" defaultAttributeDrillState="1"/>
  </pivotFields>
  <rowFields count="1">
    <field x="2"/>
  </rowFields>
  <rowItems count="4">
    <i>
      <x/>
    </i>
    <i>
      <x v="1"/>
    </i>
    <i>
      <x v="2"/>
    </i>
    <i t="grand">
      <x/>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16">
    <chartFormat chart="0" format="17" series="1">
      <pivotArea type="data" outline="0" fieldPosition="0">
        <references count="2">
          <reference field="4294967294" count="1" selected="0">
            <x v="0"/>
          </reference>
          <reference field="1" count="1" selected="0">
            <x v="0"/>
          </reference>
        </references>
      </pivotArea>
    </chartFormat>
    <chartFormat chart="0" format="18" series="1">
      <pivotArea type="data" outline="0" fieldPosition="0">
        <references count="2">
          <reference field="4294967294" count="1" selected="0">
            <x v="0"/>
          </reference>
          <reference field="1" count="1" selected="0">
            <x v="1"/>
          </reference>
        </references>
      </pivotArea>
    </chartFormat>
    <chartFormat chart="0" format="19" series="1">
      <pivotArea type="data" outline="0" fieldPosition="0">
        <references count="2">
          <reference field="4294967294" count="1" selected="0">
            <x v="0"/>
          </reference>
          <reference field="1" count="1" selected="0">
            <x v="2"/>
          </reference>
        </references>
      </pivotArea>
    </chartFormat>
    <chartFormat chart="0" format="20" series="1">
      <pivotArea type="data" outline="0" fieldPosition="0">
        <references count="2">
          <reference field="4294967294" count="1" selected="0">
            <x v="0"/>
          </reference>
          <reference field="1" count="1" selected="0">
            <x v="3"/>
          </reference>
        </references>
      </pivotArea>
    </chartFormat>
    <chartFormat chart="3" format="21" series="1">
      <pivotArea type="data" outline="0" fieldPosition="0">
        <references count="2">
          <reference field="4294967294" count="1" selected="0">
            <x v="0"/>
          </reference>
          <reference field="1" count="1" selected="0">
            <x v="0"/>
          </reference>
        </references>
      </pivotArea>
    </chartFormat>
    <chartFormat chart="3" format="22" series="1">
      <pivotArea type="data" outline="0" fieldPosition="0">
        <references count="2">
          <reference field="4294967294" count="1" selected="0">
            <x v="0"/>
          </reference>
          <reference field="1" count="1" selected="0">
            <x v="1"/>
          </reference>
        </references>
      </pivotArea>
    </chartFormat>
    <chartFormat chart="3" format="23" series="1">
      <pivotArea type="data" outline="0" fieldPosition="0">
        <references count="2">
          <reference field="4294967294" count="1" selected="0">
            <x v="0"/>
          </reference>
          <reference field="1" count="1" selected="0">
            <x v="2"/>
          </reference>
        </references>
      </pivotArea>
    </chartFormat>
    <chartFormat chart="3" format="24" series="1">
      <pivotArea type="data" outline="0" fieldPosition="0">
        <references count="2">
          <reference field="4294967294" count="1" selected="0">
            <x v="0"/>
          </reference>
          <reference field="1" count="1" selected="0">
            <x v="3"/>
          </reference>
        </references>
      </pivotArea>
    </chartFormat>
    <chartFormat chart="4" format="25" series="1">
      <pivotArea type="data" outline="0" fieldPosition="0">
        <references count="2">
          <reference field="4294967294" count="1" selected="0">
            <x v="0"/>
          </reference>
          <reference field="1" count="1" selected="0">
            <x v="0"/>
          </reference>
        </references>
      </pivotArea>
    </chartFormat>
    <chartFormat chart="4" format="26" series="1">
      <pivotArea type="data" outline="0" fieldPosition="0">
        <references count="2">
          <reference field="4294967294" count="1" selected="0">
            <x v="0"/>
          </reference>
          <reference field="1" count="1" selected="0">
            <x v="1"/>
          </reference>
        </references>
      </pivotArea>
    </chartFormat>
    <chartFormat chart="4" format="27" series="1">
      <pivotArea type="data" outline="0" fieldPosition="0">
        <references count="2">
          <reference field="4294967294" count="1" selected="0">
            <x v="0"/>
          </reference>
          <reference field="1" count="1" selected="0">
            <x v="2"/>
          </reference>
        </references>
      </pivotArea>
    </chartFormat>
    <chartFormat chart="4" format="28" series="1">
      <pivotArea type="data" outline="0" fieldPosition="0">
        <references count="2">
          <reference field="4294967294" count="1" selected="0">
            <x v="0"/>
          </reference>
          <reference field="1" count="1" selected="0">
            <x v="3"/>
          </reference>
        </references>
      </pivotArea>
    </chartFormat>
    <chartFormat chart="2" format="29" series="1">
      <pivotArea type="data" outline="0" fieldPosition="0">
        <references count="2">
          <reference field="4294967294" count="1" selected="0">
            <x v="0"/>
          </reference>
          <reference field="1" count="1" selected="0">
            <x v="0"/>
          </reference>
        </references>
      </pivotArea>
    </chartFormat>
    <chartFormat chart="2" format="30" series="1">
      <pivotArea type="data" outline="0" fieldPosition="0">
        <references count="2">
          <reference field="4294967294" count="1" selected="0">
            <x v="0"/>
          </reference>
          <reference field="1" count="1" selected="0">
            <x v="1"/>
          </reference>
        </references>
      </pivotArea>
    </chartFormat>
    <chartFormat chart="2" format="31" series="1">
      <pivotArea type="data" outline="0" fieldPosition="0">
        <references count="2">
          <reference field="4294967294" count="1" selected="0">
            <x v="0"/>
          </reference>
          <reference field="1" count="1" selected="0">
            <x v="2"/>
          </reference>
        </references>
      </pivotArea>
    </chartFormat>
    <chartFormat chart="2" format="32"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90E55E79-4514-4C51-8B11-7A0405E08F93}" name="PivotTable56" cacheId="10" applyNumberFormats="0" applyBorderFormats="0" applyFontFormats="0" applyPatternFormats="0" applyAlignmentFormats="0" applyWidthHeightFormats="1" dataCaption="Values" tag="ae6fa437-76a1-4738-ae4c-5997bfb7261b" updatedVersion="8" minRefreshableVersion="3" itemPrintTitles="1" createdVersion="5" indent="0" multipleFieldFilters="0" chartFormat="3">
  <location ref="A1:B14" firstHeaderRow="1" firstDataRow="1" firstDataCol="1"/>
  <pivotFields count="2">
    <pivotField axis="axisRow" allDrilled="1" showAll="0" dataSourceSort="1" defaultAttributeDrillState="1">
      <items count="13">
        <item x="0"/>
        <item x="1"/>
        <item x="2"/>
        <item x="3"/>
        <item x="4"/>
        <item x="5"/>
        <item x="6"/>
        <item x="7"/>
        <item x="8"/>
        <item x="9"/>
        <item x="10"/>
        <item x="11"/>
        <item t="default"/>
      </items>
    </pivotField>
    <pivotField dataField="1" showAll="0"/>
  </pivotFields>
  <rowFields count="1">
    <field x="0"/>
  </rowFields>
  <rowItems count="13">
    <i>
      <x/>
    </i>
    <i>
      <x v="1"/>
    </i>
    <i>
      <x v="2"/>
    </i>
    <i>
      <x v="3"/>
    </i>
    <i>
      <x v="4"/>
    </i>
    <i>
      <x v="5"/>
    </i>
    <i>
      <x v="6"/>
    </i>
    <i>
      <x v="7"/>
    </i>
    <i>
      <x v="8"/>
    </i>
    <i>
      <x v="9"/>
    </i>
    <i>
      <x v="10"/>
    </i>
    <i>
      <x v="11"/>
    </i>
    <i t="grand">
      <x/>
    </i>
  </rowItems>
  <colItems count="1">
    <i/>
  </colItems>
  <dataFields count="1">
    <dataField name="Distinct Count of PaperName" fld="1" subtotal="count" baseField="0" baseItem="0">
      <extLst>
        <ext xmlns:x15="http://schemas.microsoft.com/office/spreadsheetml/2010/11/main" uri="{FABC7310-3BB5-11E1-824E-6D434824019B}">
          <x15:dataField isCountDistinct="1"/>
        </ext>
      </extLst>
    </dataField>
  </dataFields>
  <chartFormats count="2">
    <chartFormat chart="0" format="3"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0"/>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97B11E13-2D16-4220-AD55-D9590CE0BFC9}" name="PivotTable55" cacheId="4" applyNumberFormats="0" applyBorderFormats="0" applyFontFormats="0" applyPatternFormats="0" applyAlignmentFormats="0" applyWidthHeightFormats="1" dataCaption="Values" tag="e544cd14-742c-4a0a-8414-0717f197280c" updatedVersion="8" minRefreshableVersion="3" itemPrintTitles="1" createdVersion="5" indent="0" multipleFieldFilters="0" chartFormat="4">
  <location ref="A1:F3" firstHeaderRow="1" firstDataRow="2" firstDataCol="1"/>
  <pivotFields count="3">
    <pivotField dataField="1" showAll="0"/>
    <pivotField axis="axisCol" allDrilled="1" showAll="0" dataSourceSort="1" defaultAttributeDrillState="1">
      <items count="5">
        <item x="0"/>
        <item x="1"/>
        <item x="2"/>
        <item x="3"/>
        <item t="default"/>
      </items>
    </pivotField>
    <pivotField allDrilled="1" showAll="0" dataSourceSort="1" defaultAttributeDrillState="1"/>
  </pivotFields>
  <rowItems count="1">
    <i/>
  </rowItems>
  <colFields count="1">
    <field x="1"/>
  </colFields>
  <colItems count="5">
    <i>
      <x/>
    </i>
    <i>
      <x v="1"/>
    </i>
    <i>
      <x v="2"/>
    </i>
    <i>
      <x v="3"/>
    </i>
    <i t="grand">
      <x/>
    </i>
  </colItems>
  <dataFields count="1">
    <dataField name="Distinct Count of PaperName" fld="0" subtotal="count" baseField="0" baseItem="0">
      <extLst>
        <ext xmlns:x15="http://schemas.microsoft.com/office/spreadsheetml/2010/11/main" uri="{FABC7310-3BB5-11E1-824E-6D434824019B}">
          <x15:dataField isCountDistinct="1"/>
        </ext>
      </extLst>
    </dataField>
  </dataFields>
  <chartFormats count="8">
    <chartFormat chart="0" format="36" series="1">
      <pivotArea type="data" outline="0" fieldPosition="0">
        <references count="2">
          <reference field="4294967294" count="1" selected="0">
            <x v="0"/>
          </reference>
          <reference field="1" count="1" selected="0">
            <x v="0"/>
          </reference>
        </references>
      </pivotArea>
    </chartFormat>
    <chartFormat chart="0" format="37" series="1">
      <pivotArea type="data" outline="0" fieldPosition="0">
        <references count="2">
          <reference field="4294967294" count="1" selected="0">
            <x v="0"/>
          </reference>
          <reference field="1" count="1" selected="0">
            <x v="1"/>
          </reference>
        </references>
      </pivotArea>
    </chartFormat>
    <chartFormat chart="0" format="38" series="1">
      <pivotArea type="data" outline="0" fieldPosition="0">
        <references count="2">
          <reference field="4294967294" count="1" selected="0">
            <x v="0"/>
          </reference>
          <reference field="1" count="1" selected="0">
            <x v="2"/>
          </reference>
        </references>
      </pivotArea>
    </chartFormat>
    <chartFormat chart="0" format="39" series="1">
      <pivotArea type="data" outline="0" fieldPosition="0">
        <references count="2">
          <reference field="4294967294" count="1" selected="0">
            <x v="0"/>
          </reference>
          <reference field="1" count="1" selected="0">
            <x v="3"/>
          </reference>
        </references>
      </pivotArea>
    </chartFormat>
    <chartFormat chart="3" format="44" series="1">
      <pivotArea type="data" outline="0" fieldPosition="0">
        <references count="2">
          <reference field="4294967294" count="1" selected="0">
            <x v="0"/>
          </reference>
          <reference field="1" count="1" selected="0">
            <x v="0"/>
          </reference>
        </references>
      </pivotArea>
    </chartFormat>
    <chartFormat chart="3" format="45" series="1">
      <pivotArea type="data" outline="0" fieldPosition="0">
        <references count="2">
          <reference field="4294967294" count="1" selected="0">
            <x v="0"/>
          </reference>
          <reference field="1" count="1" selected="0">
            <x v="1"/>
          </reference>
        </references>
      </pivotArea>
    </chartFormat>
    <chartFormat chart="3" format="46" series="1">
      <pivotArea type="data" outline="0" fieldPosition="0">
        <references count="2">
          <reference field="4294967294" count="1" selected="0">
            <x v="0"/>
          </reference>
          <reference field="1" count="1" selected="0">
            <x v="2"/>
          </reference>
        </references>
      </pivotArea>
    </chartFormat>
    <chartFormat chart="3" format="47" series="1">
      <pivotArea type="data" outline="0" fieldPosition="0">
        <references count="2">
          <reference field="4294967294" count="1" selected="0">
            <x v="0"/>
          </reference>
          <reference field="1" count="1" selected="0">
            <x v="3"/>
          </reference>
        </references>
      </pivotArea>
    </chartFormat>
  </chartFormats>
  <pivotHierarchies count="35">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caption="Distinct Count of PaperName"/>
  </pivotHierarchies>
  <pivotTableStyleInfo name="PivotStyleLight16" showRowHeaders="1" showColHeaders="1" showRowStripes="0" showColStripes="0" showLastColumn="1"/>
  <colHierarchiesUsage count="1">
    <colHierarchyUsage hierarchyUsage="9"/>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etailedTable]"/>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E70C62D1-49E5-491E-A395-C52802597121}" autoFormatId="16" applyNumberFormats="0" applyBorderFormats="0" applyFontFormats="0" applyPatternFormats="0" applyAlignmentFormats="0" applyWidthHeightFormats="0">
  <queryTableRefresh nextId="16">
    <queryTableFields count="15">
      <queryTableField id="1" name="PaperName" tableColumnId="1"/>
      <queryTableField id="2" name="Context" tableColumnId="2"/>
      <queryTableField id="3" name="Data Type" tableColumnId="3"/>
      <queryTableField id="4" name="Category" tableColumnId="4"/>
      <queryTableField id="5" name="Year Published" tableColumnId="5"/>
      <queryTableField id="6" name="Demographics" tableColumnId="6"/>
      <queryTableField id="7" name="Value" tableColumnId="7"/>
      <queryTableField id="8" name="Region" tableColumnId="8"/>
      <queryTableField id="9" name="Value.1" tableColumnId="9"/>
      <queryTableField id="10" name="4Ps" tableColumnId="10"/>
      <queryTableField id="11" name="Value.2" tableColumnId="11"/>
      <queryTableField id="12" name="Theme" tableColumnId="12"/>
      <queryTableField id="13" name="Value.3" tableColumnId="13"/>
      <queryTableField id="14" name="Methods" tableColumnId="14"/>
      <queryTableField id="15" name="Value.4" tableColumnId="15"/>
    </queryTableFields>
  </queryTableRefresh>
  <extLst>
    <ext xmlns:x15="http://schemas.microsoft.com/office/spreadsheetml/2010/11/main" uri="{883FBD77-0823-4a55-B5E3-86C4891E6966}">
      <x15:queryTable sourceDataName="Query - DetailedTable"/>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perName" xr10:uid="{13CDEED1-CA59-436A-AC88-63A18D6483ED}" sourceName="[DetailedTable].[PaperNam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PaperName].[(All)]" sourceCaption="(All)" count="0"/>
        <level uniqueName="[DetailedTable].[PaperName].[PaperName]" sourceCaption="PaperName" count="142">
          <ranges>
            <range startItem="0">
              <i n="[DetailedTable].[PaperName].&amp;[Acharjee et al. (2018)]" c="Acharjee et al. (2018)"/>
              <i n="[DetailedTable].[PaperName].&amp;[Adam et al. (2021)]" c="Adam et al. (2021)"/>
              <i n="[DetailedTable].[PaperName].&amp;[Akram and Zafar (2019)]" c="Akram and Zafar (2019)"/>
              <i n="[DetailedTable].[PaperName].&amp;[Ali et al. (2021)]" c="Ali et al. (2021)"/>
              <i n="[DetailedTable].[PaperName].&amp;[Alvari et al. (2016)]" c="Alvari et al. (2016)"/>
              <i n="[DetailedTable].[PaperName].&amp;[Alvari et al. (2017)]" c="Alvari et al. (2017)"/>
              <i n="[DetailedTable].[PaperName].&amp;[Amin (2010)]" c="Amin (2010)"/>
              <i n="[DetailedTable].[PaperName].&amp;[Andrews et al. (2018)]" c="Andrews et al. (2018)"/>
              <i n="[DetailedTable].[PaperName].&amp;[Ardakani (2020)]" c="Ardakani (2020)"/>
              <i n="[DetailedTable].[PaperName].&amp;[Asif et al. (2021)]" c="Asif et al. (2021)"/>
              <i n="[DetailedTable].[PaperName].&amp;[Bhaumik et al. (2020)]" c="Bhaumik et al. (2020)"/>
              <i n="[DetailedTable].[PaperName].&amp;[Binu et al. (2019)]" c="Binu et al. (2019)"/>
              <i n="[DetailedTable].[PaperName].&amp;[Borrelli and Caltagirone (2020)]" c="Borrelli and Caltagirone (2020)"/>
              <i n="[DetailedTable].[PaperName].&amp;[Boyd et al. (2021)]" c="Boyd et al. (2021)"/>
              <i n="[DetailedTable].[PaperName].&amp;[Brelsford and Parakh (2018)]" c="Brelsford and Parakh (2018)"/>
              <i n="[DetailedTable].[PaperName].&amp;[Brewster, Ingle, et al. (2014)]" c="Brewster, Ingle, et al. (2014)"/>
              <i n="[DetailedTable].[PaperName].&amp;[Brewster, Polovina, et al. (2014)]" c="Brewster, Polovina, et al. (2014)"/>
              <i n="[DetailedTable].[PaperName].&amp;[Burbano et al. (2018)]" c="Burbano et al. (2018)"/>
              <i n="[DetailedTable].[PaperName].&amp;[Caoli (2019)]" c="Caoli (2019)"/>
              <i n="[DetailedTable].[PaperName].&amp;[Caulkins et al. (2019)]" c="Caulkins et al. (2019)"/>
              <i n="[DetailedTable].[PaperName].&amp;[Chambers et al. (2019)]" c="Chambers et al. (2019)"/>
              <i n="[DetailedTable].[PaperName].&amp;[Chen et al. (2015)]" c="Chen et al. (2015)"/>
              <i n="[DetailedTable].[PaperName].&amp;[Cockbain et al. (2011)]" c="Cockbain et al. (2011)"/>
              <i n="[DetailedTable].[PaperName].&amp;[Cockbain et al. (2019)]" c="Cockbain et al. (2019)"/>
              <i n="[DetailedTable].[PaperName].&amp;[Coxen (2021)]" c="Coxen (2021)"/>
              <i n="[DetailedTable].[PaperName].&amp;[da Silva Santos et al. (2019)]" c="da Silva Santos et al. (2019)"/>
              <i n="[DetailedTable].[PaperName].&amp;[Darabian and Borzooei (2018)]" c="Darabian and Borzooei (2018)"/>
              <i n="[DetailedTable].[PaperName].&amp;[de Vries and Radford (2021)]" c="de Vries and Radford (2021)"/>
              <i n="[DetailedTable].[PaperName].&amp;[Deeb-Swihart et al. (2019)]" c="Deeb-Swihart et al. (2019)"/>
              <i n="[DetailedTable].[PaperName].&amp;[Diaz and Panangadan (2020)]" c="Diaz and Panangadan (2020)"/>
              <i n="[DetailedTable].[PaperName].&amp;[Dimas et al. (2021)]" c="Dimas et al. (2021)"/>
              <i n="[DetailedTable].[PaperName].&amp;[Diviák et al. (2021)]" c="Diviák et al. (2021)"/>
              <i n="[DetailedTable].[PaperName].&amp;[Dubrawski et al. (2015)]" c="Dubrawski et al. (2015)"/>
              <i n="[DetailedTable].[PaperName].&amp;[Edge et al. (2020)]" c="Edge et al. (2020)"/>
              <i n="[DetailedTable].[PaperName].&amp;[Esfahani et al. (2019)]" c="Esfahani et al. (2019)"/>
              <i n="[DetailedTable].[PaperName].&amp;[Gakiza et al. (2021)]" c="Gakiza et al. (2021)"/>
              <i n="[DetailedTable].[PaperName].&amp;[Gerry et al. (2021)]" c="Gerry et al. (2021)"/>
              <i n="[DetailedTable].[PaperName].&amp;[Giacobe et al. (2016)]" c="Giacobe et al. (2016)"/>
              <i n="[DetailedTable].[PaperName].&amp;[Giommoni and Ikwu (2021)]" c="Giommoni and Ikwu (2021)"/>
              <i n="[DetailedTable].[PaperName].&amp;[Goist et al. (2019)]" c="Goist et al. (2019)"/>
              <i n="[DetailedTable].[PaperName].&amp;[Granizo et al. (2020)]" c="Granizo et al. (2020)"/>
              <i n="[DetailedTable].[PaperName].&amp;[Grimes et al. (2011)]" c="Grimes et al. (2011)"/>
              <i n="[DetailedTable].[PaperName].&amp;[Harmon et al. (2020)]" c="Harmon et al. (2020)"/>
              <i n="[DetailedTable].[PaperName].&amp;[Hernández-Álvarez (2019)]" c="Hernández-Álvarez (2019)"/>
              <i n="[DetailedTable].[PaperName].&amp;[Hultgren et al. (2018)]" c="Hultgren et al. (2018)"/>
              <i n="[DetailedTable].[PaperName].&amp;[Hundman et al. (2018)]" c="Hundman et al. (2018)"/>
              <i n="[DetailedTable].[PaperName].&amp;[Ibanez and Gazan (2016)]" c="Ibanez and Gazan (2016)"/>
              <i n="[DetailedTable].[PaperName].&amp;[Ibanez and Suthers (2014)]" c="Ibanez and Suthers (2014)"/>
              <i n="[DetailedTable].[PaperName].&amp;[Ibanez and Suthers (2016)]" c="Ibanez and Suthers (2016)"/>
              <i n="[DetailedTable].[PaperName].&amp;[Imperial (2021)]" c="Imperial (2021)"/>
              <i n="[DetailedTable].[PaperName].&amp;[Kapoor et al. (2017)]" c="Kapoor et al. (2017)"/>
              <i n="[DetailedTable].[PaperName].&amp;[Kejriwal and Gu (2020)]" c="Kejriwal and Gu (2020)"/>
              <i n="[DetailedTable].[PaperName].&amp;[Kejriwal and Kapoor (2019)]" c="Kejriwal and Kapoor (2019)"/>
              <i n="[DetailedTable].[PaperName].&amp;[Kejriwal and Szekely (2017a)]" c="Kejriwal and Szekely (2017a)"/>
              <i n="[DetailedTable].[PaperName].&amp;[Kejriwal and Szekely (2017b)]" c="Kejriwal and Szekely (2017b)"/>
              <i n="[DetailedTable].[PaperName].&amp;[Kejriwal and Szekely (2017c)]" c="Kejriwal and Szekely (2017c)"/>
              <i n="[DetailedTable].[PaperName].&amp;[Kejriwal et al. (2017)]" c="Kejriwal et al. (2017)"/>
              <i n="[DetailedTable].[PaperName].&amp;[Kejriwal et al. (2018)]" c="Kejriwal et al. (2018)"/>
              <i n="[DetailedTable].[PaperName].&amp;[Kennedy (2012)]" c="Kennedy (2012)"/>
              <i n="[DetailedTable].[PaperName].&amp;[Keskin et al. (2021)]" c="Keskin et al. (2021)"/>
              <i n="[DetailedTable].[PaperName].&amp;[Khanal (2020)]" c="Khanal (2020)"/>
              <i n="[DetailedTable].[PaperName].&amp;[Kiss et al. (2021)]" c="Kiss et al. (2021)"/>
              <i n="[DetailedTable].[PaperName].&amp;[Konrad (2019)]" c="Konrad (2019)"/>
              <i n="[DetailedTable].[PaperName].&amp;[Konrad et al (2021)]" c="Konrad et al (2021)"/>
              <i n="[DetailedTable].[PaperName].&amp;[Konrad et al. (2017)]" c="Konrad et al. (2017)"/>
              <i n="[DetailedTable].[PaperName].&amp;[Kosmas et al. (2020)]" c="Kosmas et al. (2020)"/>
              <i n="[DetailedTable].[PaperName].&amp;[Kosmas et al. (2021)]" c="Kosmas et al. (2021)"/>
              <i n="[DetailedTable].[PaperName].&amp;[Kougkoulos et al. (2021)]" c="Kougkoulos et al. (2021)"/>
              <i n="[DetailedTable].[PaperName].&amp;[Kővári and Pruyt (2014)]" c="Kővári and Pruyt (2014)"/>
              <i n="[DetailedTable].[PaperName].&amp;[Kulshrestha (2021)]" c="Kulshrestha (2021)"/>
              <i n="[DetailedTable].[PaperName].&amp;[Lavelle-Hill et al. (2021)]" c="Lavelle-Hill et al. (2021)"/>
              <i n="[DetailedTable].[PaperName].&amp;[LeBaron (2021)]" c="LeBaron (2021)"/>
              <i n="[DetailedTable].[PaperName].&amp;[Lee et al. (2021)]" c="Lee et al. (2021)"/>
              <i n="[DetailedTable].[PaperName].&amp;[Li et al. (2018)]" c="Li et al. (2018)"/>
              <i n="[DetailedTable].[PaperName].&amp;[Li et al. (2021)]" c="Li et al. (2021)"/>
              <i n="[DetailedTable].[PaperName].&amp;[Libaque-Saenz et al. (2018)]" c="Libaque-Saenz et al. (2018)"/>
              <i n="[DetailedTable].[PaperName].&amp;[Liu et al. (2019)]" c="Liu et al. (2019)"/>
              <i n="[DetailedTable].[PaperName].&amp;[Maass et al. (2020)]" c="Maass et al. (2020)"/>
              <i n="[DetailedTable].[PaperName].&amp;[Mahbub (2021)]" c="Mahbub (2021)"/>
              <i n="[DetailedTable].[PaperName].&amp;[Mahdiraji et al. (2020)]" c="Mahdiraji et al. (2020)"/>
              <i n="[DetailedTable].[PaperName].&amp;[Malik et al. (2018)]" c="Malik et al. (2018)"/>
              <i n="[DetailedTable].[PaperName].&amp;[Mancuso (2014)]" c="Mancuso (2014)"/>
              <i n="[DetailedTable].[PaperName].&amp;[Mathew and Mordeson (2017)]" c="Mathew and Mordeson (2017)"/>
              <i n="[DetailedTable].[PaperName].&amp;[Mathew, Mordeson and Yang (2019)]" c="Mathew, Mordeson and Yang (2019)"/>
              <i n="[DetailedTable].[PaperName].&amp;[McDonald et al. (2021)]" c="McDonald et al. (2021)"/>
              <i n="[DetailedTable].[PaperName].&amp;[McKenzie (2019)]" c="McKenzie (2019)"/>
              <i n="[DetailedTable].[PaperName].&amp;[Meier and Vitor (2021)]" c="Meier and Vitor (2021)"/>
              <i n="[DetailedTable].[PaperName].&amp;[Mensikova and Mattmann (2018)]" c="Mensikova and Mattmann (2018)"/>
              <i n="[DetailedTable].[PaperName].&amp;[Mletzko et al. (2018)]" c="Mletzko et al. (2018)"/>
              <i n="[DetailedTable].[PaperName].&amp;[Mordeson and Mathew (2017a)]" c="Mordeson and Mathew (2017a)"/>
              <i n="[DetailedTable].[PaperName].&amp;[Mordeson and Mathew (2017b)]" c="Mordeson and Mathew (2017b)"/>
              <i n="[DetailedTable].[PaperName].&amp;[Mordeson and Mathew (2018)]" c="Mordeson and Mathew (2018)"/>
              <i n="[DetailedTable].[PaperName].&amp;[Mordeson and Mathew (2020a)]" c="Mordeson and Mathew (2020a)"/>
              <i n="[DetailedTable].[PaperName].&amp;[Mordeson and Mathew (2020b)]" c="Mordeson and Mathew (2020b)"/>
              <i n="[DetailedTable].[PaperName].&amp;[Mordeson et al. (2017)]" c="Mordeson et al. (2017)"/>
              <i n="[DetailedTable].[PaperName].&amp;[Mordeson et al. (2019)]" c="Mordeson et al. (2019)"/>
              <i n="[DetailedTable].[PaperName].&amp;[Mordeson, Mathew and Acharjee (2018)]" c="Mordeson, Mathew and Acharjee (2018)"/>
              <i n="[DetailedTable].[PaperName].&amp;[Mordeson, Mathew and Binu (2019)]" c="Mordeson, Mathew and Binu (2019)"/>
              <i n="[DetailedTable].[PaperName].&amp;[Mordeson, Mordeson and Mathew (2018)]" c="Mordeson, Mordeson and Mathew (2018)"/>
              <i n="[DetailedTable].[PaperName].&amp;[Mukherjee et al. (2021)]" c="Mukherjee et al. (2021)"/>
              <i n="[DetailedTable].[PaperName].&amp;[Nagpal et al. (2015)]" c="Nagpal et al. (2015)"/>
              <i n="[DetailedTable].[PaperName].&amp;[Neely et al. (2019)]" c="Neely et al. (2019)"/>
              <i n="[DetailedTable].[PaperName].&amp;[Orantes (2018)]" c="Orantes (2018)"/>
              <i n="[DetailedTable].[PaperName].&amp;[Poelmans et al. (2012)]" c="Poelmans et al. (2012)"/>
              <i n="[DetailedTable].[PaperName].&amp;[Portnoff et al. (2017)]" c="Portnoff et al. (2017)"/>
              <i n="[DetailedTable].[PaperName].&amp;[Prashad et al. (2021)]" c="Prashad et al. (2021)"/>
              <i n="[DetailedTable].[PaperName].&amp;[Price (2016)]" c="Price (2016)"/>
              <i n="[DetailedTable].[PaperName].&amp;[Progga et al. (2020)]" c="Progga et al. (2020)"/>
              <i n="[DetailedTable].[PaperName].&amp;[Rabbany et al. (2018)]" c="Rabbany et al. (2018)"/>
              <i n="[DetailedTable].[PaperName].&amp;[Ramchandani et al. (2021)]" c="Ramchandani et al. (2021)"/>
              <i n="[DetailedTable].[PaperName].&amp;[Rodrigues et al. (2015)]" c="Rodrigues et al. (2015)"/>
              <i n="[DetailedTable].[PaperName].&amp;[Sabon, Yang and Zhang (2021)]" c="Sabon, Yang and Zhang (2021)"/>
              <i n="[DetailedTable].[PaperName].&amp;[Samanta et al. (2020)]" c="Samanta et al. (2020)"/>
              <i n="[DetailedTable].[PaperName].&amp;[Sebastian et al. (2020)]" c="Sebastian et al. (2020)"/>
              <i n="[DetailedTable].[PaperName].&amp;[Senft et al. (2019)]" c="Senft et al. (2019)"/>
              <i n="[DetailedTable].[PaperName].&amp;[Sethi et al. (2013)]" c="Sethi et al. (2013)"/>
              <i n="[DetailedTable].[PaperName].&amp;[Silva et al. (2014)]" c="Silva et al. (2014)"/>
              <i n="[DetailedTable].[PaperName].&amp;[Simonson (2021)]" c="Simonson (2021)"/>
              <i n="[DetailedTable].[PaperName].&amp;[Stapleton et al. (2012)]" c="Stapleton et al. (2012)"/>
              <i n="[DetailedTable].[PaperName].&amp;[Stylianou et al. (2017)]" c="Stylianou et al. (2017)"/>
              <i n="[DetailedTable].[PaperName].&amp;[Stylianou et al. (2019)]" c="Stylianou et al. (2019)"/>
              <i n="[DetailedTable].[PaperName].&amp;[Szakonyi et al. (2021)]" c="Szakonyi et al. (2021)"/>
              <i n="[DetailedTable].[PaperName].&amp;[Szekely et al. (2015)]" c="Szekely et al. (2015)"/>
              <i n="[DetailedTable].[PaperName].&amp;[Tahir et al. (2021)]" c="Tahir et al. (2021)"/>
              <i n="[DetailedTable].[PaperName].&amp;[Tambe and Tambay (2020)]" c="Tambe and Tambay (2020)"/>
              <i n="[DetailedTable].[PaperName].&amp;[Taylor (2018)]" c="Taylor (2018)"/>
              <i n="[DetailedTable].[PaperName].&amp;[Tezcan and Maass (2020)]" c="Tezcan and Maass (2020)"/>
              <i n="[DetailedTable].[PaperName].&amp;[Thöni et al. (2018)]" c="Thöni et al. (2018)"/>
              <i n="[DetailedTable].[PaperName].&amp;[Tong et al. (2017)]" c="Tong et al. (2017)"/>
              <i n="[DetailedTable].[PaperName].&amp;[Upadhayay et al. (2020)]" c="Upadhayay et al. (2020)"/>
              <i n="[DetailedTable].[PaperName].&amp;[Vogt (2016)]" c="Vogt (2016)"/>
              <i n="[DetailedTable].[PaperName].&amp;[Wang et al. (2012)]" c="Wang et al. (2012)"/>
              <i n="[DetailedTable].[PaperName].&amp;[Wang et al. (2020)]" c="Wang et al. (2020)"/>
              <i n="[DetailedTable].[PaperName].&amp;[Weinberg et al. (2020)]" c="Weinberg et al. (2020)"/>
              <i n="[DetailedTable].[PaperName].&amp;[White, Guikema, and Carr (2021)]" c="White, Guikema, and Carr (2021)"/>
              <i n="[DetailedTable].[PaperName].&amp;[Whitney (2017)]" c="Whitney (2017)"/>
              <i n="[DetailedTable].[PaperName].&amp;[Wiriyakun and Kurutach (2021a)]" c="Wiriyakun and Kurutach (2021a)"/>
              <i n="[DetailedTable].[PaperName].&amp;[Wiriyakun and Kurutach (2021b)]" c="Wiriyakun and Kurutach (2021b)"/>
              <i n="[DetailedTable].[PaperName].&amp;[Yang et al. (2018)]" c="Yang et al. (2018)"/>
              <i n="[DetailedTable].[PaperName].&amp;[Yao et al. (2021)]" c="Yao et al. (2021)"/>
              <i n="[DetailedTable].[PaperName].&amp;[Zhou et al. (2016)]" c="Zhou et al. (2016)"/>
              <i n="[DetailedTable].[PaperName].&amp;[Zhu et al. (2019)]" c="Zhu et al. (2019)"/>
            </range>
          </ranges>
        </level>
      </levels>
      <selections count="1">
        <selection n="[DetailedTable].[Paper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4Ps" xr10:uid="{F4361A94-BF68-4D71-9ED6-659BE1426A11}" sourceName="[DetailedTable].[4P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4Ps].[(All)]" sourceCaption="(All)" count="0"/>
        <level uniqueName="[DetailedTable].[4Ps].[4Ps]" sourceCaption="4Ps" count="4">
          <ranges>
            <range startItem="0">
              <i n="[DetailedTable].[4Ps].&amp;[Partnership]" c="Partnership"/>
              <i n="[DetailedTable].[4Ps].&amp;[Prevention]" c="Prevention"/>
              <i n="[DetailedTable].[4Ps].&amp;[Prosection]" c="Prosection"/>
              <i n="[DetailedTable].[4Ps].&amp;[Protection]" c="Protection"/>
            </range>
          </ranges>
        </level>
      </levels>
      <selections count="1">
        <selection n="[DetailedTable].[4Ps].[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83C12F26-EDDC-4F67-8917-B1030BC10DF2}" sourceName="[DetailedTable].[Category]">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Category].[(All)]" sourceCaption="(All)" count="0"/>
        <level uniqueName="[DetailedTable].[Category].[Category]" sourceCaption="Category" count="3">
          <ranges>
            <range startItem="0">
              <i n="[DetailedTable].[Category].&amp;[Analytics]" c="Analytics"/>
              <i n="[DetailedTable].[Category].&amp;[Operations Research]" c="Operations Research"/>
              <i n="[DetailedTable].[Category].&amp;[Position / Thought]" c="Position / Thought"/>
            </range>
          </ranges>
        </level>
      </levels>
      <selections count="1">
        <selection n="[DetailedTable].[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ntext" xr10:uid="{0C52FD46-6C3D-40D9-93D4-BFF7DAA1BD89}" sourceName="[DetailedTable].[Context]">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Context].[(All)]" sourceCaption="(All)" count="0"/>
        <level uniqueName="[DetailedTable].[Context].[Context]" sourceCaption="Context" count="3">
          <ranges>
            <range startItem="0">
              <i n="[DetailedTable].[Context].&amp;[General]" c="General"/>
              <i n="[DetailedTable].[Context].&amp;[Labor Trafficking]" c="Labor Trafficking"/>
              <i n="[DetailedTable].[Context].&amp;[Sex Trafficking]" c="Sex Trafficking"/>
            </range>
          </ranges>
        </level>
      </levels>
      <selections count="1">
        <selection n="[DetailedTable].[Context].[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Type" xr10:uid="{D536A826-AD71-4721-9289-AEF249C410B4}" sourceName="[DetailedTable].[Data Typ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Data Type].[(All)]" sourceCaption="(All)" count="0"/>
        <level uniqueName="[DetailedTable].[Data Type].[Data Type]" sourceCaption="Data Type" count="4">
          <ranges>
            <range startItem="0">
              <i n="[DetailedTable].[Data Type].&amp;[Mixed]" c="Mixed"/>
              <i n="[DetailedTable].[Data Type].&amp;[N/A]" c="N/A"/>
              <i n="[DetailedTable].[Data Type].&amp;[Primary]" c="Primary"/>
              <i n="[DetailedTable].[Data Type].&amp;[Secondary (Publicly Available)]" c="Secondary (Publicly Available)"/>
            </range>
          </ranges>
        </level>
      </levels>
      <selections count="1">
        <selection n="[DetailedTable].[Data Type].[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mographics" xr10:uid="{9A6DB956-AE22-4761-A14D-0C9BB32E2B5E}" sourceName="[DetailedTable].[Demographic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Demographics].[(All)]" sourceCaption="(All)" count="0"/>
        <level uniqueName="[DetailedTable].[Demographics].[Demographics]" sourceCaption="Demographics" count="3">
          <ranges>
            <range startItem="0">
              <i n="[DetailedTable].[Demographics].&amp;[Child/Underage]" c="Child/Underage"/>
              <i n="[DetailedTable].[Demographics].&amp;[Female]" c="Female"/>
              <i n="[DetailedTable].[Demographics].&amp;[Unspecfied or All individuals]" c="Unspecfied or All individuals"/>
            </range>
          </ranges>
        </level>
      </levels>
      <selections count="1">
        <selection n="[DetailedTable].[Demographics].[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thods" xr10:uid="{512A3350-6D69-4597-8D7C-2BDCFAB3D9A7}" sourceName="[DetailedTable].[Methods]">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Methods].[(All)]" sourceCaption="(All)" count="0"/>
        <level uniqueName="[DetailedTable].[Methods].[Methods]" sourceCaption="Methods" count="21">
          <ranges>
            <range startItem="0">
              <i n="[DetailedTable].[Methods].&amp;[(Social) Network Analysis]" c="(Social) Network Analysis"/>
              <i n="[DetailedTable].[Methods].&amp;[Active Learning]" c="Active Learning"/>
              <i n="[DetailedTable].[Methods].&amp;[Clustering or Classification]" c="Clustering or Classification"/>
              <i n="[DetailedTable].[Methods].&amp;[Data Envelopment Analysis]" c="Data Envelopment Analysis"/>
              <i n="[DetailedTable].[Methods].&amp;[Empirical Analysis]" c="Empirical Analysis"/>
              <i n="[DetailedTable].[Methods].&amp;[Facility location]" c="Facility location"/>
              <i n="[DetailedTable].[Methods].&amp;[Game Theory]" c="Game Theory"/>
              <i n="[DetailedTable].[Methods].&amp;[Graph Construction]" c="Graph Construction"/>
              <i n="[DetailedTable].[Methods].&amp;[Information Extraction]" c="Information Extraction"/>
              <i n="[DetailedTable].[Methods].&amp;[Integer Programming]" c="Integer Programming"/>
              <i n="[DetailedTable].[Methods].&amp;[Investigative Search]" c="Investigative Search"/>
              <i n="[DetailedTable].[Methods].&amp;[Link Inference]" c="Link Inference"/>
              <i n="[DetailedTable].[Methods].&amp;[Machine / Deep Learning (General)]" c="Machine / Deep Learning (General)"/>
              <i n="[DetailedTable].[Methods].&amp;[N/A]" c="N/A"/>
              <i n="[DetailedTable].[Methods].&amp;[Natural Language Processing]" c="Natural Language Processing"/>
              <i n="[DetailedTable].[Methods].&amp;[Network / Graph Theory]" c="Network / Graph Theory"/>
              <i n="[DetailedTable].[Methods].&amp;[Network Interdiction]" c="Network Interdiction"/>
              <i n="[DetailedTable].[Methods].&amp;[Other]" c="Other"/>
              <i n="[DetailedTable].[Methods].&amp;[Simulation]" c="Simulation"/>
              <i n="[DetailedTable].[Methods].&amp;[Unsupervised or Minimally Supervised Learning]" c="Unsupervised or Minimally Supervised Learning"/>
              <i n="[DetailedTable].[Methods].&amp;[Web Crawling / Scraping]" c="Web Crawling / Scraping"/>
            </range>
          </ranges>
        </level>
      </levels>
      <selections count="1">
        <selection n="[DetailedTable].[Methods].[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heme" xr10:uid="{E5632823-C043-4619-825A-834440AD864E}" sourceName="[DetailedTable].[Theme]">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Theme].[(All)]" sourceCaption="(All)" count="0"/>
        <level uniqueName="[DetailedTable].[Theme].[Theme]" sourceCaption="Theme" count="6">
          <ranges>
            <range startItem="0">
              <i n="[DetailedTable].[Theme].&amp;[Decision Support]" c="Decision Support"/>
              <i n="[DetailedTable].[Theme].&amp;[Inferential Statistics / Detection]" c="Inferential Statistics / Detection"/>
              <i n="[DetailedTable].[Theme].&amp;[Network Flow]" c="Network Flow"/>
              <i n="[DetailedTable].[Theme].&amp;[Other / Unspecified]" c="Other / Unspecified"/>
              <i n="[DetailedTable].[Theme].&amp;[Resource Alloction]" c="Resource Alloction"/>
              <i n="[DetailedTable].[Theme].&amp;[Supply Chain]" c="Supply Chain"/>
            </range>
          </ranges>
        </level>
      </levels>
      <selections count="1">
        <selection n="[DetailedTable].[Theme].[All]"/>
      </selections>
    </olap>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2499D22-7BEF-40B6-9CCE-67D7EECC2C4C}" sourceName="[DetailedTable].[Region]">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Region].[(All)]" sourceCaption="(All)" count="0"/>
        <level uniqueName="[DetailedTable].[Region].[Region]" sourceCaption="Region" count="7">
          <ranges>
            <range startItem="0">
              <i n="[DetailedTable].[Region].&amp;[Africa]" c="Africa"/>
              <i n="[DetailedTable].[Region].&amp;[Asia]" c="Asia"/>
              <i n="[DetailedTable].[Region].&amp;[Australia/Oceania]" c="Australia/Oceania"/>
              <i n="[DetailedTable].[Region].&amp;[Europe]" c="Europe"/>
              <i n="[DetailedTable].[Region].&amp;[North America]" c="North America"/>
              <i n="[DetailedTable].[Region].&amp;[South America]" c="South America"/>
              <i n="[DetailedTable].[Region].&amp;[Unspecified/All regions]" c="Unspecified/All regions"/>
            </range>
          </ranges>
        </level>
      </levels>
      <selections count="1">
        <selection n="[DetailedTable].[Region].[All]"/>
      </selections>
    </olap>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_Published" xr10:uid="{AC028B46-2BD2-4423-A6ED-39E225CAE55D}" sourceName="[DetailedTable].[Year Published]">
  <pivotTables>
    <pivotTable tabId="18" name="PivotTable56"/>
    <pivotTable tabId="21" name="PivotTable66"/>
    <pivotTable tabId="21" name="PivotTable67"/>
    <pivotTable tabId="21" name="PivotTable68"/>
    <pivotTable tabId="21" name="PivotTable69"/>
    <pivotTable tabId="19" name="PivotTable55"/>
    <pivotTable tabId="20" name="PivotTable57"/>
    <pivotTable tabId="22" name="PivotTable58"/>
    <pivotTable tabId="22" name="PivotTable59"/>
    <pivotTable tabId="22" name="PivotTable60"/>
    <pivotTable tabId="22" name="PivotTable61"/>
  </pivotTables>
  <data>
    <olap pivotCacheId="1177755274">
      <levels count="2">
        <level uniqueName="[DetailedTable].[Year Published].[(All)]" sourceCaption="(All)" count="0"/>
        <level uniqueName="[DetailedTable].[Year Published].[Year Published]" sourceCaption="Year Published" count="12">
          <ranges>
            <range startItem="0">
              <i n="[DetailedTable].[Year Published].&amp;[2010]" c="2010"/>
              <i n="[DetailedTable].[Year Published].&amp;[2011]" c="2011"/>
              <i n="[DetailedTable].[Year Published].&amp;[2012]" c="2012"/>
              <i n="[DetailedTable].[Year Published].&amp;[2013]" c="2013"/>
              <i n="[DetailedTable].[Year Published].&amp;[2014]" c="2014"/>
              <i n="[DetailedTable].[Year Published].&amp;[2015]" c="2015"/>
              <i n="[DetailedTable].[Year Published].&amp;[2016]" c="2016"/>
              <i n="[DetailedTable].[Year Published].&amp;[2017]" c="2017"/>
              <i n="[DetailedTable].[Year Published].&amp;[2018]" c="2018"/>
              <i n="[DetailedTable].[Year Published].&amp;[2019]" c="2019"/>
              <i n="[DetailedTable].[Year Published].&amp;[2020]" c="2020"/>
              <i n="[DetailedTable].[Year Published].&amp;[2021]" c="2021"/>
            </range>
          </ranges>
        </level>
      </levels>
      <selections count="1">
        <selection n="[DetailedTable].[Year Publishe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perName" xr10:uid="{49AC91C3-895F-415E-8B15-3829498B091B}" cache="Slicer_PaperName" caption="PaperName" startItem="30" columnCount="3" level="1" rowHeight="241300"/>
  <slicer name="4Ps" xr10:uid="{BA6FCA35-46E3-4FC7-8FF4-36BDC919AF56}" cache="Slicer_4Ps" caption="4Ps" level="1" rowHeight="241300"/>
  <slicer name="Category" xr10:uid="{F019D56D-30F8-41A2-BCCE-A269842B2140}" cache="Slicer_Category" caption="Category" level="1" rowHeight="241300"/>
  <slicer name="Context" xr10:uid="{01275838-D605-4C78-8DB6-F9F983B4B1F8}" cache="Slicer_Context" caption="Context" level="1" rowHeight="241300"/>
  <slicer name="Data Type" xr10:uid="{87B72EA6-D65A-4703-A734-A9AAF8F721D4}" cache="Slicer_Data_Type" caption="Data Type" level="1" rowHeight="241300"/>
  <slicer name="Demographics" xr10:uid="{85170E15-78CE-4458-9557-758FFC3A67C7}" cache="Slicer_Demographics" caption="Demographics" level="1" rowHeight="241300"/>
  <slicer name="Methods" xr10:uid="{62D54B3D-AF2A-40CB-A1CE-85E9C84E8EAA}" cache="Slicer_Methods" caption="Methods" columnCount="3" level="1" rowHeight="241300"/>
  <slicer name="Theme" xr10:uid="{A7ABD5E5-0992-4DE8-A959-D422B27DC3A3}" cache="Slicer_Theme" caption="Theme" level="1" rowHeight="241300"/>
  <slicer name="Region" xr10:uid="{B6812E38-373D-4CD4-B9B4-3724E7F63B75}" cache="Slicer_Region" caption="Region" level="1" rowHeight="241300"/>
  <slicer name="Year Published" xr10:uid="{1FC08E03-78A1-4310-AC87-F5E844CCCF14}" cache="Slicer_Year_Published" caption="Year Published" columnCount="3" level="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83091FDD-01C6-4FC4-B916-8AADE329E60E}" name="DetailedTable" displayName="DetailedTable" ref="A1:O1179" tableType="queryTable" totalsRowShown="0">
  <autoFilter ref="A1:O1179" xr:uid="{83091FDD-01C6-4FC4-B916-8AADE329E60E}"/>
  <tableColumns count="15">
    <tableColumn id="1" xr3:uid="{C1176A3F-CBC5-4967-B7EC-D9357C23DD7D}" uniqueName="1" name="PaperName" queryTableFieldId="1" dataDxfId="9"/>
    <tableColumn id="2" xr3:uid="{386243CE-A0D5-4229-8F2D-6BEA605F7159}" uniqueName="2" name="Context" queryTableFieldId="2" dataDxfId="8"/>
    <tableColumn id="3" xr3:uid="{1F5B2268-16DF-4CAE-B8F9-4B444FE519CB}" uniqueName="3" name="Data Type" queryTableFieldId="3" dataDxfId="7"/>
    <tableColumn id="4" xr3:uid="{253428BF-B33D-4CDD-806C-C8A800D2C916}" uniqueName="4" name="Category" queryTableFieldId="4" dataDxfId="6"/>
    <tableColumn id="5" xr3:uid="{DCC90AD3-ED8E-4395-93DD-0467663D56C9}" uniqueName="5" name="Year Published" queryTableFieldId="5"/>
    <tableColumn id="6" xr3:uid="{D8698300-F2A2-4612-B55B-BF25D4828681}" uniqueName="6" name="Demographics" queryTableFieldId="6" dataDxfId="5"/>
    <tableColumn id="7" xr3:uid="{2BFE5E20-0ABC-4FF4-9530-11AFE9C82331}" uniqueName="7" name="Value" queryTableFieldId="7"/>
    <tableColumn id="8" xr3:uid="{6A529AD3-474A-459A-891A-A281BAF3BA70}" uniqueName="8" name="Region" queryTableFieldId="8" dataDxfId="4"/>
    <tableColumn id="9" xr3:uid="{1B7FB4B7-EE16-453E-898A-74BD05F13CBA}" uniqueName="9" name="Value.1" queryTableFieldId="9"/>
    <tableColumn id="10" xr3:uid="{DB0436F1-A963-4A10-B449-18C8BA0AAE4C}" uniqueName="10" name="4Ps" queryTableFieldId="10" dataDxfId="3"/>
    <tableColumn id="11" xr3:uid="{5B166504-B043-472E-BAB2-D8B76776F97B}" uniqueName="11" name="Value.2" queryTableFieldId="11"/>
    <tableColumn id="12" xr3:uid="{E7684B22-F37E-4106-A1FF-10CBD1EF267B}" uniqueName="12" name="Theme" queryTableFieldId="12" dataDxfId="2"/>
    <tableColumn id="13" xr3:uid="{FC83CD78-AB40-4620-A744-698175B9E237}" uniqueName="13" name="Value.3" queryTableFieldId="13"/>
    <tableColumn id="14" xr3:uid="{E731943D-E5B7-406D-9657-A81AC3AA99CF}" uniqueName="14" name="Methods" queryTableFieldId="14" dataDxfId="1"/>
    <tableColumn id="15" xr3:uid="{E56535A4-443B-467E-9E19-D45C0E2C143B}" uniqueName="15" name="Value.4" queryTableFieldId="1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AC0C038-87E9-4DB8-BEEB-B28364C60926}" name="Table1" displayName="Table1" ref="A1:AW143" totalsRowShown="0">
  <autoFilter ref="A1:AW143" xr:uid="{7AC0C038-87E9-4DB8-BEEB-B28364C60926}"/>
  <tableColumns count="49">
    <tableColumn id="1" xr3:uid="{9206DD8A-B79D-4957-9293-1B4077FC4618}" name="PaperName"/>
    <tableColumn id="2" xr3:uid="{861FEED5-6294-405E-A274-072A14898878}" name="Context"/>
    <tableColumn id="3" xr3:uid="{A59C533B-4737-448F-A3E9-B5280C03C619}" name="Female"/>
    <tableColumn id="4" xr3:uid="{DAF20F06-77F8-4F69-BFB2-F9643E8761A0}" name="Male"/>
    <tableColumn id="5" xr3:uid="{3D3763CB-A1F9-4D4F-B40C-85FC007ABB2A}" name="Child/Underage"/>
    <tableColumn id="6" xr3:uid="{026C34B5-292A-4D17-B262-FA79C5D79396}" name="LGBTQ+"/>
    <tableColumn id="7" xr3:uid="{4241A5FB-A72F-4192-A2FF-CC67D1251C98}" name="Unspecfied or All individuals"/>
    <tableColumn id="8" xr3:uid="{D36F8F1A-E185-4370-A998-E3639FC0BE86}" name="North America"/>
    <tableColumn id="9" xr3:uid="{58A4D012-8869-4137-B364-D41E35FBCBAA}" name="South America"/>
    <tableColumn id="10" xr3:uid="{9BDCECF0-E7B9-48E9-95A8-A4A6ECB72A0B}" name="Europe"/>
    <tableColumn id="11" xr3:uid="{1AC94A11-426D-4918-A14B-4F32C79226DA}" name="Asia"/>
    <tableColumn id="12" xr3:uid="{C10E1843-8970-4F5E-B45C-3AF0644E6D5A}" name="Africa"/>
    <tableColumn id="13" xr3:uid="{C8CE336A-C061-4430-83D4-1BEBA26B3039}" name="Australia/Oceania"/>
    <tableColumn id="14" xr3:uid="{F6748B44-3248-45A6-A839-41FE1FA5B854}" name="Unspecified/All regions"/>
    <tableColumn id="15" xr3:uid="{AE53E3FA-6314-44C3-889E-D3414B1F4B1E}" name="Prevention"/>
    <tableColumn id="16" xr3:uid="{15BEF019-7BDA-4471-94A9-3CC981A2E177}" name="Protection"/>
    <tableColumn id="17" xr3:uid="{70D8F1A7-1405-4BE7-9E3F-D084FCD34C07}" name="Prosection"/>
    <tableColumn id="18" xr3:uid="{FB595830-FF1F-4777-923A-724B5D512882}" name="Partnership"/>
    <tableColumn id="19" xr3:uid="{4483F6C7-8804-4164-BA0E-146207F8CFA6}" name="Data Type"/>
    <tableColumn id="20" xr3:uid="{6EF0F714-D344-4184-919B-C8FCC49BCBFD}" name="Network Flow"/>
    <tableColumn id="21" xr3:uid="{60E5A339-AE24-4938-827A-98453FB3B707}" name="Resource Alloction"/>
    <tableColumn id="22" xr3:uid="{17BE696B-1C63-4249-928B-877DA49D7CF2}" name="Supply Chain"/>
    <tableColumn id="23" xr3:uid="{F42D197B-3D13-4813-8669-58CB47815AE7}" name="Decision Support"/>
    <tableColumn id="24" xr3:uid="{64A537AB-2103-402A-8070-4D85BE412D29}" name="Other / Unspecified"/>
    <tableColumn id="25" xr3:uid="{D52500A6-689B-43F4-847D-93A0D6446900}" name="Inferential Statistics / Detection"/>
    <tableColumn id="26" xr3:uid="{7F2AE92C-A931-43A9-A17A-B87E6B760D8C}" name="Category"/>
    <tableColumn id="27" xr3:uid="{F3FEF8BA-A773-4988-A918-63EEB385983E}" name="Data Envelopment Analysis"/>
    <tableColumn id="28" xr3:uid="{061CBF2D-1470-4601-851E-594B5A69D75F}" name="Network Interdiction"/>
    <tableColumn id="29" xr3:uid="{2051001C-2013-4BE1-A882-82A85DA47C56}" name="Integer Programming"/>
    <tableColumn id="30" xr3:uid="{0C97F0B2-FC9F-404D-A45F-F0FBFF5D2528}" name="Facility location"/>
    <tableColumn id="31" xr3:uid="{B2706BD6-279A-4BB5-B350-9B6C8221EDA5}" name="Queuing Theory"/>
    <tableColumn id="32" xr3:uid="{B99CE7F5-4501-46AE-A001-8A48AA94967C}" name="Simulation"/>
    <tableColumn id="33" xr3:uid="{56BDDD5F-0F05-4E65-BE5F-9C718BDEF0AD}" name="(Social) Network Analysis"/>
    <tableColumn id="34" xr3:uid="{DF45832F-AC50-40DB-90F8-52C8A0F38E5A}" name="Empirical Analysis"/>
    <tableColumn id="35" xr3:uid="{0DFF537E-6B0F-40E7-9C0C-FA2E67969903}" name="Active Learning"/>
    <tableColumn id="36" xr3:uid="{0C268A54-0CA3-4FD7-B571-87CCA28196A7}" name="Graph Construction"/>
    <tableColumn id="37" xr3:uid="{5E413E71-98E5-4983-BB36-E899908F7DDD}" name="Link Inference"/>
    <tableColumn id="38" xr3:uid="{A329BA6E-F27E-443F-A589-4BF81D8F8C25}" name="Machine / Deep Learning (General)"/>
    <tableColumn id="39" xr3:uid="{3971E801-AD6A-4B0C-B278-FF03AD9ADCFA}" name="Clustering or Classification"/>
    <tableColumn id="40" xr3:uid="{FD4B698A-FA00-4349-BD1C-654740D3A4A5}" name="Unsupervised or Minimally Supervised Learning"/>
    <tableColumn id="41" xr3:uid="{E5753135-CFB3-4DE9-B6B9-926F3F362695}" name="Natural Language Processing"/>
    <tableColumn id="42" xr3:uid="{94449D15-8F3F-4D15-95BF-6EB563FA13B6}" name="Information Extraction"/>
    <tableColumn id="43" xr3:uid="{5F840838-1052-45FC-9EB8-4D99D35C8BC7}" name="Investigative Search"/>
    <tableColumn id="44" xr3:uid="{3EB6736B-E1E6-44F2-9AC7-EA890C66D229}" name="Game Theory"/>
    <tableColumn id="45" xr3:uid="{98312821-CCB3-4327-8B9C-FC0681FF5378}" name="Other"/>
    <tableColumn id="46" xr3:uid="{8E89162C-ECFC-4140-8F35-C84C5DDBFE1F}" name="Network / Graph Theory"/>
    <tableColumn id="47" xr3:uid="{4834A55F-ED2C-4008-B483-ECDE9005A76E}" name="Web Crawling / Scraping"/>
    <tableColumn id="54" xr3:uid="{4C2F05D5-FB37-481E-A64A-20B9554DF164}" name="N/A" dataDxfId="0"/>
    <tableColumn id="48" xr3:uid="{A0B31E0C-5539-4B03-94E9-35168885E4C3}" name="Year Publishe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2.xml"/><Relationship Id="rId5" Type="http://schemas.openxmlformats.org/officeDocument/2006/relationships/printerSettings" Target="../printerSettings/printerSettings1.bin"/><Relationship Id="rId4" Type="http://schemas.openxmlformats.org/officeDocument/2006/relationships/pivotTable" Target="../pivotTables/pivotTable4.x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0.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96A86-2A72-48A7-8662-C6A489583423}">
  <sheetPr codeName="Sheet1"/>
  <dimension ref="D4:J72"/>
  <sheetViews>
    <sheetView zoomScale="80" zoomScaleNormal="80" workbookViewId="0"/>
  </sheetViews>
  <sheetFormatPr defaultRowHeight="14.5" x14ac:dyDescent="0.35"/>
  <cols>
    <col min="1" max="3" width="8.7265625" style="5"/>
    <col min="4" max="4" width="23" style="5" customWidth="1"/>
    <col min="5" max="5" width="20" style="5" customWidth="1"/>
    <col min="6" max="6" width="32.08984375" style="5" customWidth="1"/>
    <col min="7" max="7" width="32.453125" style="5" bestFit="1" customWidth="1"/>
    <col min="8" max="8" width="31.1796875" style="5" bestFit="1" customWidth="1"/>
    <col min="9" max="16384" width="8.7265625" style="5"/>
  </cols>
  <sheetData>
    <row r="4" spans="4:10" ht="15" thickBot="1" x14ac:dyDescent="0.4"/>
    <row r="5" spans="4:10" ht="14.5" customHeight="1" x14ac:dyDescent="0.35">
      <c r="D5" s="66" t="s">
        <v>266</v>
      </c>
      <c r="E5" s="67"/>
      <c r="F5" s="67"/>
      <c r="G5" s="67"/>
      <c r="H5" s="68"/>
      <c r="I5" s="41"/>
      <c r="J5" s="41"/>
    </row>
    <row r="6" spans="4:10" x14ac:dyDescent="0.35">
      <c r="D6" s="69"/>
      <c r="E6" s="70"/>
      <c r="F6" s="70"/>
      <c r="G6" s="70"/>
      <c r="H6" s="71"/>
      <c r="I6" s="41"/>
      <c r="J6" s="41"/>
    </row>
    <row r="7" spans="4:10" x14ac:dyDescent="0.35">
      <c r="D7" s="69"/>
      <c r="E7" s="70"/>
      <c r="F7" s="70"/>
      <c r="G7" s="70"/>
      <c r="H7" s="71"/>
      <c r="I7" s="41"/>
      <c r="J7" s="41"/>
    </row>
    <row r="8" spans="4:10" x14ac:dyDescent="0.35">
      <c r="D8" s="69"/>
      <c r="E8" s="70"/>
      <c r="F8" s="70"/>
      <c r="G8" s="70"/>
      <c r="H8" s="71"/>
      <c r="I8" s="41"/>
      <c r="J8" s="41"/>
    </row>
    <row r="9" spans="4:10" ht="15" thickBot="1" x14ac:dyDescent="0.4">
      <c r="D9" s="72"/>
      <c r="E9" s="73"/>
      <c r="F9" s="73"/>
      <c r="G9" s="73"/>
      <c r="H9" s="74"/>
      <c r="I9" s="41"/>
      <c r="J9" s="41"/>
    </row>
    <row r="10" spans="4:10" ht="14.5" customHeight="1" x14ac:dyDescent="0.35">
      <c r="D10" s="75" t="s">
        <v>253</v>
      </c>
      <c r="E10" s="76"/>
      <c r="F10" s="76"/>
      <c r="G10" s="76"/>
      <c r="H10" s="77"/>
      <c r="I10" s="41"/>
      <c r="J10" s="41"/>
    </row>
    <row r="11" spans="4:10" ht="15" thickBot="1" x14ac:dyDescent="0.4">
      <c r="D11" s="78"/>
      <c r="E11" s="79"/>
      <c r="F11" s="79"/>
      <c r="G11" s="79"/>
      <c r="H11" s="80"/>
      <c r="I11" s="41"/>
      <c r="J11" s="41"/>
    </row>
    <row r="12" spans="4:10" ht="26.5" thickBot="1" x14ac:dyDescent="0.4">
      <c r="D12" s="51" t="s">
        <v>254</v>
      </c>
      <c r="E12" s="85" t="s">
        <v>255</v>
      </c>
      <c r="F12" s="86"/>
      <c r="G12" s="86"/>
      <c r="H12" s="87"/>
      <c r="I12" s="41"/>
      <c r="J12" s="41"/>
    </row>
    <row r="13" spans="4:10" ht="58" customHeight="1" thickBot="1" x14ac:dyDescent="0.4">
      <c r="D13" s="43" t="s">
        <v>256</v>
      </c>
      <c r="E13" s="82" t="s">
        <v>267</v>
      </c>
      <c r="F13" s="83"/>
      <c r="G13" s="83"/>
      <c r="H13" s="84"/>
      <c r="I13" s="41"/>
      <c r="J13" s="41"/>
    </row>
    <row r="14" spans="4:10" ht="87" customHeight="1" thickBot="1" x14ac:dyDescent="0.4">
      <c r="D14" s="43" t="s">
        <v>257</v>
      </c>
      <c r="E14" s="82" t="s">
        <v>268</v>
      </c>
      <c r="F14" s="83"/>
      <c r="G14" s="83"/>
      <c r="H14" s="84"/>
      <c r="I14" s="41"/>
      <c r="J14" s="41"/>
    </row>
    <row r="15" spans="4:10" ht="96.5" customHeight="1" thickBot="1" x14ac:dyDescent="0.4">
      <c r="D15" s="43" t="s">
        <v>258</v>
      </c>
      <c r="E15" s="82" t="s">
        <v>269</v>
      </c>
      <c r="F15" s="83"/>
      <c r="G15" s="83"/>
      <c r="H15" s="84"/>
      <c r="I15" s="41"/>
      <c r="J15" s="41"/>
    </row>
    <row r="16" spans="4:10" ht="87" customHeight="1" thickBot="1" x14ac:dyDescent="0.4">
      <c r="D16" s="43" t="s">
        <v>259</v>
      </c>
      <c r="E16" s="82" t="s">
        <v>260</v>
      </c>
      <c r="F16" s="83"/>
      <c r="G16" s="83"/>
      <c r="H16" s="84"/>
      <c r="I16" s="41"/>
      <c r="J16" s="41"/>
    </row>
    <row r="17" spans="4:10" ht="54.5" customHeight="1" thickBot="1" x14ac:dyDescent="0.4">
      <c r="D17" s="94" t="s">
        <v>261</v>
      </c>
      <c r="E17" s="95"/>
      <c r="F17" s="95"/>
      <c r="G17" s="95"/>
      <c r="H17" s="96"/>
      <c r="I17" s="41"/>
      <c r="J17" s="41"/>
    </row>
    <row r="18" spans="4:10" ht="15" thickBot="1" x14ac:dyDescent="0.4">
      <c r="J18" s="42"/>
    </row>
    <row r="19" spans="4:10" ht="14.5" customHeight="1" x14ac:dyDescent="0.35">
      <c r="D19" s="101" t="s">
        <v>263</v>
      </c>
      <c r="E19" s="97" t="s">
        <v>262</v>
      </c>
      <c r="F19" s="97"/>
      <c r="G19" s="97"/>
      <c r="H19" s="98"/>
    </row>
    <row r="20" spans="4:10" ht="45.5" customHeight="1" thickBot="1" x14ac:dyDescent="0.4">
      <c r="D20" s="102"/>
      <c r="E20" s="99"/>
      <c r="F20" s="99"/>
      <c r="G20" s="99"/>
      <c r="H20" s="100"/>
    </row>
    <row r="21" spans="4:10" x14ac:dyDescent="0.35">
      <c r="D21" s="88" t="s">
        <v>265</v>
      </c>
      <c r="E21" s="89"/>
      <c r="F21" s="89"/>
      <c r="G21" s="89"/>
      <c r="H21" s="90"/>
    </row>
    <row r="22" spans="4:10" ht="15" thickBot="1" x14ac:dyDescent="0.4">
      <c r="D22" s="91"/>
      <c r="E22" s="92"/>
      <c r="F22" s="92"/>
      <c r="G22" s="92"/>
      <c r="H22" s="93"/>
    </row>
    <row r="23" spans="4:10" x14ac:dyDescent="0.35">
      <c r="D23" s="81" t="s">
        <v>276</v>
      </c>
      <c r="E23" s="58"/>
      <c r="F23" s="59"/>
      <c r="G23" s="57" t="s">
        <v>270</v>
      </c>
      <c r="H23" s="59"/>
    </row>
    <row r="24" spans="4:10" x14ac:dyDescent="0.35">
      <c r="D24" s="60"/>
      <c r="E24" s="61"/>
      <c r="F24" s="62"/>
      <c r="G24" s="60"/>
      <c r="H24" s="62"/>
    </row>
    <row r="25" spans="4:10" x14ac:dyDescent="0.35">
      <c r="D25" s="60"/>
      <c r="E25" s="61"/>
      <c r="F25" s="62"/>
      <c r="G25" s="60"/>
      <c r="H25" s="62"/>
    </row>
    <row r="26" spans="4:10" x14ac:dyDescent="0.35">
      <c r="D26" s="60"/>
      <c r="E26" s="61"/>
      <c r="F26" s="62"/>
      <c r="G26" s="60"/>
      <c r="H26" s="62"/>
    </row>
    <row r="27" spans="4:10" x14ac:dyDescent="0.35">
      <c r="D27" s="60"/>
      <c r="E27" s="61"/>
      <c r="F27" s="62"/>
      <c r="G27" s="60"/>
      <c r="H27" s="62"/>
    </row>
    <row r="28" spans="4:10" x14ac:dyDescent="0.35">
      <c r="D28" s="60"/>
      <c r="E28" s="61"/>
      <c r="F28" s="62"/>
      <c r="G28" s="60"/>
      <c r="H28" s="62"/>
    </row>
    <row r="29" spans="4:10" x14ac:dyDescent="0.35">
      <c r="D29" s="60"/>
      <c r="E29" s="61"/>
      <c r="F29" s="62"/>
      <c r="G29" s="60"/>
      <c r="H29" s="62"/>
    </row>
    <row r="30" spans="4:10" x14ac:dyDescent="0.35">
      <c r="D30" s="60"/>
      <c r="E30" s="61"/>
      <c r="F30" s="62"/>
      <c r="G30" s="60"/>
      <c r="H30" s="62"/>
    </row>
    <row r="31" spans="4:10" x14ac:dyDescent="0.35">
      <c r="D31" s="60"/>
      <c r="E31" s="61"/>
      <c r="F31" s="62"/>
      <c r="G31" s="60"/>
      <c r="H31" s="62"/>
    </row>
    <row r="32" spans="4:10" x14ac:dyDescent="0.35">
      <c r="D32" s="60"/>
      <c r="E32" s="61"/>
      <c r="F32" s="62"/>
      <c r="G32" s="60"/>
      <c r="H32" s="62"/>
    </row>
    <row r="33" spans="4:8" x14ac:dyDescent="0.35">
      <c r="D33" s="60"/>
      <c r="E33" s="61"/>
      <c r="F33" s="62"/>
      <c r="G33" s="60"/>
      <c r="H33" s="62"/>
    </row>
    <row r="34" spans="4:8" x14ac:dyDescent="0.35">
      <c r="D34" s="60"/>
      <c r="E34" s="61"/>
      <c r="F34" s="62"/>
      <c r="G34" s="60"/>
      <c r="H34" s="62"/>
    </row>
    <row r="35" spans="4:8" ht="15" thickBot="1" x14ac:dyDescent="0.4">
      <c r="D35" s="63"/>
      <c r="E35" s="64"/>
      <c r="F35" s="65"/>
      <c r="G35" s="63"/>
      <c r="H35" s="65"/>
    </row>
    <row r="36" spans="4:8" ht="14.5" customHeight="1" x14ac:dyDescent="0.35">
      <c r="D36" s="57" t="s">
        <v>271</v>
      </c>
      <c r="E36" s="58"/>
      <c r="F36" s="58"/>
      <c r="G36" s="58"/>
      <c r="H36" s="59"/>
    </row>
    <row r="37" spans="4:8" x14ac:dyDescent="0.35">
      <c r="D37" s="60"/>
      <c r="E37" s="61"/>
      <c r="F37" s="61"/>
      <c r="G37" s="61"/>
      <c r="H37" s="62"/>
    </row>
    <row r="38" spans="4:8" x14ac:dyDescent="0.35">
      <c r="D38" s="60"/>
      <c r="E38" s="61"/>
      <c r="F38" s="61"/>
      <c r="G38" s="61"/>
      <c r="H38" s="62"/>
    </row>
    <row r="39" spans="4:8" x14ac:dyDescent="0.35">
      <c r="D39" s="60"/>
      <c r="E39" s="61"/>
      <c r="F39" s="61"/>
      <c r="G39" s="61"/>
      <c r="H39" s="62"/>
    </row>
    <row r="40" spans="4:8" x14ac:dyDescent="0.35">
      <c r="D40" s="60"/>
      <c r="E40" s="61"/>
      <c r="F40" s="61"/>
      <c r="G40" s="61"/>
      <c r="H40" s="62"/>
    </row>
    <row r="41" spans="4:8" x14ac:dyDescent="0.35">
      <c r="D41" s="60"/>
      <c r="E41" s="61"/>
      <c r="F41" s="61"/>
      <c r="G41" s="61"/>
      <c r="H41" s="62"/>
    </row>
    <row r="42" spans="4:8" x14ac:dyDescent="0.35">
      <c r="D42" s="60"/>
      <c r="E42" s="61"/>
      <c r="F42" s="61"/>
      <c r="G42" s="61"/>
      <c r="H42" s="62"/>
    </row>
    <row r="43" spans="4:8" x14ac:dyDescent="0.35">
      <c r="D43" s="60"/>
      <c r="E43" s="61"/>
      <c r="F43" s="61"/>
      <c r="G43" s="61"/>
      <c r="H43" s="62"/>
    </row>
    <row r="44" spans="4:8" x14ac:dyDescent="0.35">
      <c r="D44" s="60"/>
      <c r="E44" s="61"/>
      <c r="F44" s="61"/>
      <c r="G44" s="61"/>
      <c r="H44" s="62"/>
    </row>
    <row r="45" spans="4:8" x14ac:dyDescent="0.35">
      <c r="D45" s="60"/>
      <c r="E45" s="61"/>
      <c r="F45" s="61"/>
      <c r="G45" s="61"/>
      <c r="H45" s="62"/>
    </row>
    <row r="46" spans="4:8" x14ac:dyDescent="0.35">
      <c r="D46" s="60"/>
      <c r="E46" s="61"/>
      <c r="F46" s="61"/>
      <c r="G46" s="61"/>
      <c r="H46" s="62"/>
    </row>
    <row r="47" spans="4:8" x14ac:dyDescent="0.35">
      <c r="D47" s="60"/>
      <c r="E47" s="61"/>
      <c r="F47" s="61"/>
      <c r="G47" s="61"/>
      <c r="H47" s="62"/>
    </row>
    <row r="48" spans="4:8" ht="15" thickBot="1" x14ac:dyDescent="0.4">
      <c r="D48" s="63"/>
      <c r="E48" s="64"/>
      <c r="F48" s="64"/>
      <c r="G48" s="64"/>
      <c r="H48" s="65"/>
    </row>
    <row r="49" spans="4:8" x14ac:dyDescent="0.35">
      <c r="D49" s="88" t="s">
        <v>264</v>
      </c>
      <c r="E49" s="89"/>
      <c r="F49" s="89"/>
      <c r="G49" s="89"/>
      <c r="H49" s="90"/>
    </row>
    <row r="50" spans="4:8" x14ac:dyDescent="0.35">
      <c r="D50" s="103"/>
      <c r="E50" s="104"/>
      <c r="F50" s="104"/>
      <c r="G50" s="104"/>
      <c r="H50" s="105"/>
    </row>
    <row r="51" spans="4:8" ht="23.5" x14ac:dyDescent="0.55000000000000004">
      <c r="D51" s="53"/>
      <c r="E51" s="44"/>
      <c r="F51" s="45" t="s">
        <v>202</v>
      </c>
      <c r="G51" s="45" t="s">
        <v>201</v>
      </c>
      <c r="H51" s="55"/>
    </row>
    <row r="52" spans="4:8" ht="47" x14ac:dyDescent="0.55000000000000004">
      <c r="D52" s="53"/>
      <c r="E52" s="45" t="s">
        <v>203</v>
      </c>
      <c r="F52" s="46" t="s">
        <v>272</v>
      </c>
      <c r="G52" s="47" t="s">
        <v>274</v>
      </c>
      <c r="H52" s="55"/>
    </row>
    <row r="53" spans="4:8" ht="47.5" thickBot="1" x14ac:dyDescent="0.6">
      <c r="D53" s="54"/>
      <c r="E53" s="48" t="s">
        <v>204</v>
      </c>
      <c r="F53" s="49" t="s">
        <v>273</v>
      </c>
      <c r="G53" s="50" t="s">
        <v>275</v>
      </c>
      <c r="H53" s="56"/>
    </row>
    <row r="54" spans="4:8" ht="14.5" customHeight="1" x14ac:dyDescent="0.35">
      <c r="D54" s="57" t="s">
        <v>277</v>
      </c>
      <c r="E54" s="58"/>
      <c r="F54" s="58"/>
      <c r="G54" s="58"/>
      <c r="H54" s="59"/>
    </row>
    <row r="55" spans="4:8" x14ac:dyDescent="0.35">
      <c r="D55" s="60"/>
      <c r="E55" s="61"/>
      <c r="F55" s="61"/>
      <c r="G55" s="61"/>
      <c r="H55" s="62"/>
    </row>
    <row r="56" spans="4:8" x14ac:dyDescent="0.35">
      <c r="D56" s="60"/>
      <c r="E56" s="61"/>
      <c r="F56" s="61"/>
      <c r="G56" s="61"/>
      <c r="H56" s="62"/>
    </row>
    <row r="57" spans="4:8" x14ac:dyDescent="0.35">
      <c r="D57" s="60"/>
      <c r="E57" s="61"/>
      <c r="F57" s="61"/>
      <c r="G57" s="61"/>
      <c r="H57" s="62"/>
    </row>
    <row r="58" spans="4:8" x14ac:dyDescent="0.35">
      <c r="D58" s="60"/>
      <c r="E58" s="61"/>
      <c r="F58" s="61"/>
      <c r="G58" s="61"/>
      <c r="H58" s="62"/>
    </row>
    <row r="59" spans="4:8" x14ac:dyDescent="0.35">
      <c r="D59" s="60"/>
      <c r="E59" s="61"/>
      <c r="F59" s="61"/>
      <c r="G59" s="61"/>
      <c r="H59" s="62"/>
    </row>
    <row r="60" spans="4:8" x14ac:dyDescent="0.35">
      <c r="D60" s="60"/>
      <c r="E60" s="61"/>
      <c r="F60" s="61"/>
      <c r="G60" s="61"/>
      <c r="H60" s="62"/>
    </row>
    <row r="61" spans="4:8" x14ac:dyDescent="0.35">
      <c r="D61" s="60"/>
      <c r="E61" s="61"/>
      <c r="F61" s="61"/>
      <c r="G61" s="61"/>
      <c r="H61" s="62"/>
    </row>
    <row r="62" spans="4:8" x14ac:dyDescent="0.35">
      <c r="D62" s="60"/>
      <c r="E62" s="61"/>
      <c r="F62" s="61"/>
      <c r="G62" s="61"/>
      <c r="H62" s="62"/>
    </row>
    <row r="63" spans="4:8" x14ac:dyDescent="0.35">
      <c r="D63" s="60"/>
      <c r="E63" s="61"/>
      <c r="F63" s="61"/>
      <c r="G63" s="61"/>
      <c r="H63" s="62"/>
    </row>
    <row r="64" spans="4:8" x14ac:dyDescent="0.35">
      <c r="D64" s="60"/>
      <c r="E64" s="61"/>
      <c r="F64" s="61"/>
      <c r="G64" s="61"/>
      <c r="H64" s="62"/>
    </row>
    <row r="65" spans="4:8" x14ac:dyDescent="0.35">
      <c r="D65" s="60"/>
      <c r="E65" s="61"/>
      <c r="F65" s="61"/>
      <c r="G65" s="61"/>
      <c r="H65" s="62"/>
    </row>
    <row r="66" spans="4:8" x14ac:dyDescent="0.35">
      <c r="D66" s="60"/>
      <c r="E66" s="61"/>
      <c r="F66" s="61"/>
      <c r="G66" s="61"/>
      <c r="H66" s="62"/>
    </row>
    <row r="67" spans="4:8" x14ac:dyDescent="0.35">
      <c r="D67" s="60"/>
      <c r="E67" s="61"/>
      <c r="F67" s="61"/>
      <c r="G67" s="61"/>
      <c r="H67" s="62"/>
    </row>
    <row r="68" spans="4:8" x14ac:dyDescent="0.35">
      <c r="D68" s="60"/>
      <c r="E68" s="61"/>
      <c r="F68" s="61"/>
      <c r="G68" s="61"/>
      <c r="H68" s="62"/>
    </row>
    <row r="69" spans="4:8" x14ac:dyDescent="0.35">
      <c r="D69" s="60"/>
      <c r="E69" s="61"/>
      <c r="F69" s="61"/>
      <c r="G69" s="61"/>
      <c r="H69" s="62"/>
    </row>
    <row r="70" spans="4:8" x14ac:dyDescent="0.35">
      <c r="D70" s="60"/>
      <c r="E70" s="61"/>
      <c r="F70" s="61"/>
      <c r="G70" s="61"/>
      <c r="H70" s="62"/>
    </row>
    <row r="71" spans="4:8" x14ac:dyDescent="0.35">
      <c r="D71" s="60"/>
      <c r="E71" s="61"/>
      <c r="F71" s="61"/>
      <c r="G71" s="61"/>
      <c r="H71" s="62"/>
    </row>
    <row r="72" spans="4:8" ht="15" thickBot="1" x14ac:dyDescent="0.4">
      <c r="D72" s="63"/>
      <c r="E72" s="64"/>
      <c r="F72" s="64"/>
      <c r="G72" s="64"/>
      <c r="H72" s="65"/>
    </row>
  </sheetData>
  <sheetProtection sheet="1" objects="1" scenarios="1"/>
  <mergeCells count="18">
    <mergeCell ref="D19:D20"/>
    <mergeCell ref="D49:H50"/>
    <mergeCell ref="D51:D53"/>
    <mergeCell ref="H51:H53"/>
    <mergeCell ref="D54:H72"/>
    <mergeCell ref="D5:H9"/>
    <mergeCell ref="D10:H11"/>
    <mergeCell ref="D23:F35"/>
    <mergeCell ref="G23:H35"/>
    <mergeCell ref="D36:H48"/>
    <mergeCell ref="E13:H13"/>
    <mergeCell ref="E12:H12"/>
    <mergeCell ref="E14:H14"/>
    <mergeCell ref="E15:H15"/>
    <mergeCell ref="E16:H16"/>
    <mergeCell ref="D21:H22"/>
    <mergeCell ref="D17:H17"/>
    <mergeCell ref="E19:H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C6E76-C913-4981-91E3-274B09C82E14}">
  <sheetPr codeName="Sheet6"/>
  <dimension ref="A1:AD61"/>
  <sheetViews>
    <sheetView tabSelected="1" zoomScale="70" zoomScaleNormal="70" workbookViewId="0">
      <selection activeCell="L30" sqref="L30"/>
    </sheetView>
  </sheetViews>
  <sheetFormatPr defaultRowHeight="14.5" x14ac:dyDescent="0.35"/>
  <cols>
    <col min="1" max="8" width="8.7265625" style="5"/>
    <col min="9" max="9" width="30.26953125" style="8" bestFit="1" customWidth="1"/>
    <col min="10" max="10" width="10" style="8" customWidth="1"/>
    <col min="11" max="11" width="17.453125" style="8" bestFit="1" customWidth="1"/>
    <col min="12" max="12" width="10.08984375" style="8" customWidth="1"/>
    <col min="13" max="16384" width="8.7265625" style="5"/>
  </cols>
  <sheetData>
    <row r="1" spans="1:24" x14ac:dyDescent="0.35">
      <c r="A1" s="6"/>
      <c r="B1" s="6"/>
      <c r="C1" s="6"/>
      <c r="D1" s="6"/>
      <c r="E1" s="6"/>
      <c r="F1" s="6"/>
      <c r="G1" s="6"/>
      <c r="H1" s="6"/>
      <c r="I1" s="7"/>
      <c r="J1" s="7"/>
      <c r="K1" s="7"/>
      <c r="L1" s="7"/>
      <c r="M1" s="6"/>
      <c r="N1" s="6"/>
      <c r="O1" s="6"/>
      <c r="P1" s="6"/>
      <c r="Q1" s="6"/>
      <c r="R1" s="6"/>
      <c r="S1" s="6"/>
      <c r="T1" s="6"/>
      <c r="U1" s="6"/>
      <c r="V1" s="6"/>
      <c r="W1" s="6"/>
      <c r="X1" s="6"/>
    </row>
    <row r="2" spans="1:24" x14ac:dyDescent="0.35">
      <c r="A2" s="6"/>
      <c r="B2" s="6"/>
      <c r="C2" s="6"/>
      <c r="D2" s="6"/>
      <c r="E2" s="6"/>
      <c r="F2" s="6"/>
      <c r="G2" s="6"/>
      <c r="H2" s="6"/>
      <c r="I2" s="7"/>
      <c r="J2" s="7"/>
      <c r="K2" s="7"/>
      <c r="L2" s="7"/>
      <c r="M2" s="6"/>
      <c r="N2" s="6"/>
      <c r="O2" s="6"/>
      <c r="P2" s="6"/>
      <c r="Q2" s="6"/>
      <c r="R2" s="6"/>
      <c r="S2" s="6"/>
      <c r="T2" s="6"/>
      <c r="U2" s="6"/>
      <c r="V2" s="6"/>
      <c r="W2" s="6"/>
      <c r="X2" s="6"/>
    </row>
    <row r="3" spans="1:24" x14ac:dyDescent="0.35">
      <c r="A3" s="6"/>
      <c r="B3" s="6"/>
      <c r="C3" s="6"/>
      <c r="D3" s="6"/>
      <c r="E3" s="6"/>
      <c r="F3" s="6"/>
      <c r="G3" s="6"/>
      <c r="H3" s="6"/>
      <c r="I3" s="7"/>
      <c r="J3" s="7"/>
      <c r="K3" s="7"/>
      <c r="L3" s="7"/>
      <c r="M3" s="6"/>
      <c r="N3" s="6"/>
      <c r="O3" s="6"/>
      <c r="P3" s="6"/>
      <c r="Q3" s="6"/>
      <c r="R3" s="6"/>
      <c r="S3" s="6"/>
      <c r="T3" s="6"/>
      <c r="U3" s="6"/>
      <c r="V3" s="6"/>
      <c r="W3" s="6"/>
      <c r="X3" s="6"/>
    </row>
    <row r="4" spans="1:24" x14ac:dyDescent="0.35">
      <c r="A4" s="6"/>
      <c r="B4" s="6"/>
      <c r="C4" s="6"/>
      <c r="D4" s="6"/>
      <c r="E4" s="6"/>
      <c r="F4" s="6"/>
      <c r="G4" s="6"/>
      <c r="H4" s="6"/>
      <c r="I4" s="7"/>
      <c r="J4" s="7"/>
      <c r="K4" s="7"/>
      <c r="L4" s="7"/>
      <c r="M4" s="6"/>
      <c r="N4" s="6"/>
      <c r="O4" s="6"/>
      <c r="P4" s="6"/>
      <c r="Q4" s="6"/>
      <c r="R4" s="6"/>
      <c r="S4" s="6"/>
      <c r="T4" s="6"/>
      <c r="U4" s="6"/>
      <c r="V4" s="6"/>
      <c r="W4" s="6"/>
      <c r="X4" s="6"/>
    </row>
    <row r="5" spans="1:24" x14ac:dyDescent="0.35">
      <c r="A5" s="6"/>
      <c r="B5" s="6"/>
      <c r="C5" s="6"/>
      <c r="D5" s="6"/>
      <c r="E5" s="6"/>
      <c r="F5" s="6"/>
      <c r="G5" s="6"/>
      <c r="H5" s="6"/>
      <c r="I5" s="7"/>
      <c r="J5" s="7"/>
      <c r="K5" s="7"/>
      <c r="L5" s="7"/>
      <c r="M5" s="6"/>
      <c r="N5" s="6"/>
      <c r="O5" s="6"/>
      <c r="P5" s="6"/>
      <c r="Q5" s="6"/>
      <c r="R5" s="6"/>
      <c r="S5" s="6"/>
      <c r="T5" s="6"/>
      <c r="U5" s="6"/>
      <c r="V5" s="6"/>
      <c r="W5" s="6"/>
      <c r="X5" s="6"/>
    </row>
    <row r="6" spans="1:24" x14ac:dyDescent="0.35">
      <c r="A6" s="6"/>
      <c r="B6" s="6"/>
      <c r="C6" s="6"/>
      <c r="D6" s="6"/>
      <c r="E6" s="6"/>
      <c r="F6" s="6"/>
      <c r="G6" s="6"/>
      <c r="H6" s="6"/>
      <c r="I6" s="7"/>
      <c r="J6" s="7"/>
      <c r="K6" s="7"/>
      <c r="L6" s="7"/>
      <c r="M6" s="6"/>
      <c r="N6" s="6"/>
      <c r="O6" s="6"/>
      <c r="P6" s="6"/>
      <c r="Q6" s="6"/>
      <c r="R6" s="6"/>
      <c r="S6" s="6"/>
      <c r="T6" s="6"/>
      <c r="U6" s="6"/>
      <c r="V6" s="6"/>
      <c r="W6" s="6"/>
      <c r="X6" s="6"/>
    </row>
    <row r="7" spans="1:24" x14ac:dyDescent="0.35">
      <c r="A7" s="6"/>
      <c r="B7" s="6"/>
      <c r="C7" s="6"/>
      <c r="D7" s="6"/>
      <c r="E7" s="6"/>
      <c r="F7" s="6"/>
      <c r="G7" s="6"/>
      <c r="H7" s="6"/>
      <c r="I7" s="7"/>
      <c r="J7" s="7"/>
      <c r="K7" s="7"/>
      <c r="L7" s="7"/>
      <c r="M7" s="6"/>
      <c r="N7" s="6"/>
      <c r="O7" s="6"/>
      <c r="P7" s="6"/>
      <c r="Q7" s="6"/>
      <c r="R7" s="6"/>
      <c r="S7" s="6"/>
      <c r="T7" s="6"/>
      <c r="U7" s="6"/>
      <c r="V7" s="6"/>
      <c r="W7" s="6"/>
      <c r="X7" s="6"/>
    </row>
    <row r="8" spans="1:24" x14ac:dyDescent="0.35">
      <c r="A8" s="6"/>
      <c r="B8" s="6"/>
      <c r="C8" s="6"/>
      <c r="D8" s="6"/>
      <c r="E8" s="6"/>
      <c r="F8" s="6"/>
      <c r="G8" s="6"/>
      <c r="H8" s="6"/>
      <c r="I8" s="7"/>
      <c r="J8" s="7"/>
      <c r="K8" s="7"/>
      <c r="L8" s="7"/>
      <c r="M8" s="6"/>
      <c r="N8" s="6"/>
      <c r="O8" s="6"/>
      <c r="P8" s="6"/>
      <c r="Q8" s="6"/>
      <c r="R8" s="6"/>
      <c r="S8" s="6"/>
      <c r="T8" s="6"/>
      <c r="U8" s="6"/>
      <c r="V8" s="6"/>
      <c r="W8" s="6"/>
      <c r="X8" s="6"/>
    </row>
    <row r="9" spans="1:24" x14ac:dyDescent="0.35">
      <c r="A9" s="6"/>
      <c r="B9" s="6"/>
      <c r="C9" s="6"/>
      <c r="D9" s="6"/>
      <c r="E9" s="6"/>
      <c r="F9" s="6"/>
      <c r="G9" s="6"/>
      <c r="H9" s="6"/>
      <c r="I9" s="7"/>
      <c r="J9" s="7"/>
      <c r="K9" s="7"/>
      <c r="L9" s="7"/>
      <c r="M9" s="6"/>
      <c r="N9" s="6"/>
      <c r="O9" s="6"/>
      <c r="P9" s="6"/>
      <c r="Q9" s="6"/>
      <c r="R9" s="6"/>
      <c r="S9" s="6"/>
      <c r="T9" s="6"/>
      <c r="U9" s="6"/>
      <c r="V9" s="6"/>
      <c r="W9" s="6"/>
      <c r="X9" s="6"/>
    </row>
    <row r="10" spans="1:24" x14ac:dyDescent="0.35">
      <c r="A10" s="6"/>
      <c r="B10" s="6"/>
      <c r="C10" s="6"/>
      <c r="D10" s="6"/>
      <c r="E10" s="6"/>
      <c r="F10" s="6"/>
      <c r="G10" s="6"/>
      <c r="H10" s="6"/>
      <c r="I10" s="7"/>
      <c r="J10" s="7"/>
      <c r="K10" s="7"/>
      <c r="L10" s="7"/>
      <c r="M10" s="6"/>
      <c r="N10" s="6"/>
      <c r="O10" s="6"/>
      <c r="P10" s="6"/>
      <c r="Q10" s="6"/>
      <c r="R10" s="6"/>
      <c r="S10" s="6"/>
      <c r="T10" s="6"/>
      <c r="U10" s="6"/>
      <c r="V10" s="6"/>
      <c r="W10" s="6"/>
      <c r="X10" s="6"/>
    </row>
    <row r="11" spans="1:24" x14ac:dyDescent="0.35">
      <c r="A11" s="6"/>
      <c r="B11" s="6"/>
      <c r="C11" s="6"/>
      <c r="D11" s="6"/>
      <c r="E11" s="6"/>
      <c r="F11" s="6"/>
      <c r="G11" s="6"/>
      <c r="H11" s="6"/>
      <c r="I11" s="7"/>
      <c r="J11" s="7"/>
      <c r="K11" s="7"/>
      <c r="L11" s="7"/>
      <c r="M11" s="6"/>
      <c r="N11" s="6"/>
      <c r="O11" s="6"/>
      <c r="P11" s="6"/>
      <c r="Q11" s="6"/>
      <c r="R11" s="6"/>
      <c r="S11" s="6"/>
      <c r="T11" s="6"/>
      <c r="U11" s="6"/>
      <c r="V11" s="6"/>
      <c r="W11" s="6"/>
      <c r="X11" s="6"/>
    </row>
    <row r="12" spans="1:24" x14ac:dyDescent="0.35">
      <c r="A12" s="6"/>
      <c r="B12" s="6"/>
      <c r="C12" s="6"/>
      <c r="D12" s="6"/>
      <c r="E12" s="6"/>
      <c r="F12" s="6"/>
      <c r="G12" s="6"/>
      <c r="H12" s="6"/>
      <c r="I12" s="7"/>
      <c r="J12" s="7"/>
      <c r="K12" s="7"/>
      <c r="L12" s="7"/>
      <c r="M12" s="6"/>
      <c r="N12" s="6"/>
      <c r="O12" s="6"/>
      <c r="P12" s="6"/>
      <c r="Q12" s="6"/>
      <c r="R12" s="6"/>
      <c r="S12" s="6"/>
      <c r="T12" s="6"/>
      <c r="U12" s="6"/>
      <c r="V12" s="6"/>
      <c r="W12" s="6"/>
      <c r="X12" s="6"/>
    </row>
    <row r="13" spans="1:24" x14ac:dyDescent="0.35">
      <c r="A13" s="6"/>
      <c r="B13" s="6"/>
      <c r="C13" s="6"/>
      <c r="D13" s="6"/>
      <c r="E13" s="6"/>
      <c r="F13" s="6"/>
      <c r="G13" s="6"/>
      <c r="H13" s="6"/>
      <c r="I13" s="7"/>
      <c r="J13" s="7"/>
      <c r="K13" s="7"/>
      <c r="L13" s="7"/>
      <c r="M13" s="6"/>
      <c r="N13" s="6"/>
      <c r="O13" s="6"/>
      <c r="P13" s="6"/>
      <c r="Q13" s="6"/>
      <c r="R13" s="6"/>
      <c r="S13" s="6"/>
      <c r="T13" s="6"/>
      <c r="U13" s="6"/>
      <c r="V13" s="6"/>
      <c r="W13" s="6"/>
      <c r="X13" s="6"/>
    </row>
    <row r="14" spans="1:24" x14ac:dyDescent="0.35">
      <c r="A14" s="6"/>
      <c r="B14" s="6"/>
      <c r="C14" s="6"/>
      <c r="D14" s="6"/>
      <c r="E14" s="6"/>
      <c r="F14" s="6"/>
      <c r="G14" s="6"/>
      <c r="H14" s="6"/>
      <c r="I14" s="7"/>
      <c r="J14" s="7"/>
      <c r="K14" s="7"/>
      <c r="L14" s="7"/>
      <c r="M14" s="6"/>
      <c r="N14" s="6"/>
      <c r="O14" s="6"/>
      <c r="P14" s="6"/>
      <c r="Q14" s="6"/>
      <c r="R14" s="6"/>
      <c r="S14" s="6"/>
      <c r="T14" s="6"/>
      <c r="U14" s="6"/>
      <c r="V14" s="6"/>
      <c r="W14" s="6"/>
      <c r="X14" s="6"/>
    </row>
    <row r="15" spans="1:24" x14ac:dyDescent="0.35">
      <c r="A15" s="6"/>
      <c r="B15" s="6"/>
      <c r="C15" s="6"/>
      <c r="D15" s="6"/>
      <c r="E15" s="6"/>
      <c r="F15" s="6"/>
      <c r="G15" s="6"/>
      <c r="H15" s="6"/>
      <c r="I15" s="7"/>
      <c r="J15" s="7"/>
      <c r="K15" s="7"/>
      <c r="L15" s="7"/>
      <c r="M15" s="6"/>
      <c r="N15" s="6"/>
      <c r="O15" s="6"/>
      <c r="P15" s="6"/>
      <c r="Q15" s="6"/>
      <c r="R15" s="6"/>
      <c r="S15" s="6"/>
      <c r="T15" s="6"/>
      <c r="U15" s="6"/>
      <c r="V15" s="6"/>
      <c r="W15" s="6"/>
      <c r="X15" s="6"/>
    </row>
    <row r="16" spans="1:24" x14ac:dyDescent="0.35">
      <c r="A16" s="6"/>
      <c r="B16" s="6"/>
      <c r="C16" s="6"/>
      <c r="D16" s="6"/>
      <c r="E16" s="6"/>
      <c r="F16" s="6"/>
      <c r="G16" s="6"/>
      <c r="H16" s="6"/>
      <c r="I16" s="7"/>
      <c r="J16" s="7"/>
      <c r="K16" s="7"/>
      <c r="L16" s="7"/>
      <c r="M16" s="6"/>
      <c r="N16" s="6"/>
      <c r="O16" s="6"/>
      <c r="P16" s="6"/>
      <c r="Q16" s="6"/>
      <c r="R16" s="6"/>
      <c r="S16" s="6"/>
      <c r="T16" s="6"/>
      <c r="U16" s="6"/>
      <c r="V16" s="6"/>
      <c r="W16" s="6"/>
      <c r="X16" s="6"/>
    </row>
    <row r="17" spans="1:30" x14ac:dyDescent="0.35">
      <c r="A17" s="6"/>
      <c r="B17" s="6"/>
      <c r="C17" s="6"/>
      <c r="D17" s="6"/>
      <c r="E17" s="6"/>
      <c r="F17" s="6"/>
      <c r="G17" s="6"/>
      <c r="H17" s="10"/>
      <c r="I17" s="6"/>
      <c r="J17" s="6"/>
      <c r="K17" s="6"/>
      <c r="L17" s="6"/>
      <c r="M17" s="6"/>
      <c r="N17" s="9"/>
      <c r="O17" s="9"/>
      <c r="P17" s="9"/>
      <c r="Q17" s="6"/>
      <c r="R17" s="6"/>
      <c r="S17" s="6"/>
      <c r="T17" s="6"/>
      <c r="U17" s="6"/>
      <c r="V17" s="6"/>
      <c r="W17" s="6"/>
      <c r="X17" s="6"/>
    </row>
    <row r="18" spans="1:30" x14ac:dyDescent="0.35">
      <c r="A18" s="6"/>
      <c r="B18" s="6"/>
      <c r="C18" s="6"/>
      <c r="D18" s="6"/>
      <c r="E18" s="6"/>
      <c r="F18" s="6"/>
      <c r="G18" s="6"/>
      <c r="H18" s="10"/>
      <c r="I18" s="3" t="s">
        <v>25</v>
      </c>
      <c r="J18" s="11" t="s">
        <v>224</v>
      </c>
      <c r="K18" s="3" t="s">
        <v>1</v>
      </c>
      <c r="L18" s="11" t="s">
        <v>224</v>
      </c>
      <c r="M18" s="6"/>
      <c r="N18" s="6"/>
      <c r="O18" s="6"/>
      <c r="P18" s="6"/>
      <c r="Q18" s="6"/>
      <c r="R18" s="6"/>
      <c r="S18" s="6"/>
      <c r="T18" s="6"/>
      <c r="U18" s="6"/>
      <c r="V18" s="6"/>
      <c r="W18" s="6"/>
      <c r="X18" s="6"/>
    </row>
    <row r="19" spans="1:30" x14ac:dyDescent="0.35">
      <c r="A19" s="6"/>
      <c r="B19" s="6"/>
      <c r="C19" s="6"/>
      <c r="D19" s="6"/>
      <c r="E19" s="6"/>
      <c r="F19" s="6"/>
      <c r="G19" s="6"/>
      <c r="H19" s="6"/>
      <c r="I19" s="4" t="s">
        <v>231</v>
      </c>
      <c r="J19" s="15">
        <v>0.73943661971830987</v>
      </c>
      <c r="K19" s="4" t="s">
        <v>49</v>
      </c>
      <c r="L19" s="15">
        <v>0.31494057724957553</v>
      </c>
      <c r="M19" s="6"/>
      <c r="N19" s="6"/>
      <c r="O19" s="6"/>
      <c r="P19" s="6"/>
      <c r="Q19" s="6"/>
      <c r="R19" s="6"/>
      <c r="S19" s="6"/>
      <c r="T19" s="6"/>
      <c r="U19" s="6"/>
      <c r="V19" s="6"/>
      <c r="W19" s="6"/>
      <c r="X19" s="6"/>
    </row>
    <row r="20" spans="1:30" x14ac:dyDescent="0.35">
      <c r="A20" s="6"/>
      <c r="B20" s="6"/>
      <c r="C20" s="6"/>
      <c r="D20" s="6"/>
      <c r="E20" s="6"/>
      <c r="F20" s="6"/>
      <c r="G20" s="6"/>
      <c r="H20" s="10"/>
      <c r="I20" s="4" t="s">
        <v>230</v>
      </c>
      <c r="J20" s="15">
        <v>0.15492957746478872</v>
      </c>
      <c r="K20" s="4" t="s">
        <v>66</v>
      </c>
      <c r="L20" s="15">
        <v>8.3191850594227498E-2</v>
      </c>
      <c r="M20" s="6"/>
      <c r="N20" s="6"/>
      <c r="O20" s="6"/>
      <c r="P20" s="6"/>
      <c r="Q20" s="6"/>
      <c r="R20" s="6"/>
      <c r="S20" s="6"/>
      <c r="T20" s="6"/>
      <c r="U20" s="6"/>
      <c r="V20" s="6"/>
      <c r="W20" s="6"/>
      <c r="X20" s="6"/>
    </row>
    <row r="21" spans="1:30" x14ac:dyDescent="0.35">
      <c r="A21" s="6"/>
      <c r="B21" s="6"/>
      <c r="C21" s="6"/>
      <c r="D21" s="6"/>
      <c r="E21" s="6"/>
      <c r="F21" s="6"/>
      <c r="G21" s="6"/>
      <c r="H21" s="10"/>
      <c r="I21" s="4" t="s">
        <v>232</v>
      </c>
      <c r="J21" s="15">
        <v>0.10563380281690141</v>
      </c>
      <c r="K21" s="4" t="s">
        <v>56</v>
      </c>
      <c r="L21" s="15">
        <v>0.60186757215619691</v>
      </c>
      <c r="M21" s="6"/>
      <c r="N21" s="6"/>
      <c r="O21" s="6"/>
      <c r="P21" s="6"/>
      <c r="Q21" s="6"/>
      <c r="R21" s="6"/>
      <c r="S21" s="6"/>
      <c r="T21" s="6"/>
      <c r="U21" s="6"/>
      <c r="V21" s="6"/>
      <c r="W21" s="6"/>
      <c r="X21" s="6"/>
    </row>
    <row r="22" spans="1:30" x14ac:dyDescent="0.35">
      <c r="A22" s="6"/>
      <c r="B22" s="6"/>
      <c r="C22" s="6"/>
      <c r="D22" s="6"/>
      <c r="E22" s="6"/>
      <c r="F22" s="6"/>
      <c r="G22" s="6"/>
      <c r="H22" s="10"/>
      <c r="I22" s="6"/>
      <c r="J22" s="6"/>
      <c r="K22" s="6"/>
      <c r="L22" s="6"/>
      <c r="M22" s="6"/>
      <c r="N22" s="6"/>
      <c r="O22" s="6"/>
      <c r="P22" s="6"/>
      <c r="Q22" s="6"/>
      <c r="R22" s="6"/>
      <c r="S22" s="6"/>
      <c r="T22" s="6"/>
      <c r="U22" s="6"/>
      <c r="V22" s="6"/>
      <c r="W22" s="6"/>
      <c r="X22" s="6"/>
      <c r="AD22" s="5" t="s">
        <v>199</v>
      </c>
    </row>
    <row r="23" spans="1:30" x14ac:dyDescent="0.35">
      <c r="A23" s="6"/>
      <c r="B23" s="6"/>
      <c r="C23" s="6"/>
      <c r="D23" s="6"/>
      <c r="E23" s="6"/>
      <c r="F23" s="6"/>
      <c r="G23" s="6"/>
      <c r="H23" s="6"/>
      <c r="I23" s="6"/>
      <c r="J23" s="6"/>
      <c r="K23" s="6"/>
      <c r="L23" s="6"/>
      <c r="M23" s="6"/>
      <c r="N23" s="6"/>
      <c r="O23" s="6"/>
      <c r="P23" s="6"/>
      <c r="Q23" s="6"/>
      <c r="R23" s="6"/>
      <c r="S23" s="6"/>
      <c r="T23" s="6"/>
      <c r="U23" s="6"/>
      <c r="V23" s="6"/>
      <c r="W23" s="6"/>
      <c r="X23" s="6"/>
    </row>
    <row r="24" spans="1:30" x14ac:dyDescent="0.35">
      <c r="A24" s="6"/>
      <c r="B24" s="6"/>
      <c r="C24" s="6"/>
      <c r="D24" s="6"/>
      <c r="E24" s="6"/>
      <c r="F24" s="6"/>
      <c r="G24" s="6"/>
      <c r="H24" s="10"/>
      <c r="I24" s="3" t="s">
        <v>18</v>
      </c>
      <c r="J24" s="11" t="s">
        <v>224</v>
      </c>
      <c r="K24" s="3" t="s">
        <v>198</v>
      </c>
      <c r="L24" s="11" t="s">
        <v>224</v>
      </c>
      <c r="M24" s="6"/>
      <c r="N24" s="6"/>
      <c r="O24" s="6"/>
      <c r="P24" s="6"/>
      <c r="Q24" s="6"/>
      <c r="R24" s="6"/>
      <c r="S24" s="6"/>
      <c r="T24" s="6"/>
      <c r="U24" s="6"/>
      <c r="V24" s="6"/>
      <c r="W24" s="6"/>
      <c r="X24" s="6"/>
    </row>
    <row r="25" spans="1:30" x14ac:dyDescent="0.35">
      <c r="A25" s="6"/>
      <c r="B25" s="6"/>
      <c r="C25" s="6"/>
      <c r="D25" s="6"/>
      <c r="E25" s="6"/>
      <c r="F25" s="6"/>
      <c r="G25" s="6"/>
      <c r="H25" s="10"/>
      <c r="I25" s="4" t="s">
        <v>238</v>
      </c>
      <c r="J25" s="15">
        <v>5.6338028169014086E-2</v>
      </c>
      <c r="K25" s="4" t="s">
        <v>17</v>
      </c>
      <c r="L25" s="15">
        <v>0.42957746478873238</v>
      </c>
      <c r="M25" s="6"/>
      <c r="N25" s="6"/>
      <c r="O25" s="6"/>
      <c r="P25" s="6"/>
      <c r="Q25" s="6"/>
      <c r="R25" s="6"/>
      <c r="S25" s="6"/>
      <c r="T25" s="6"/>
      <c r="U25" s="6"/>
      <c r="V25" s="6"/>
      <c r="W25" s="6"/>
      <c r="X25" s="6"/>
    </row>
    <row r="26" spans="1:30" x14ac:dyDescent="0.35">
      <c r="A26" s="6"/>
      <c r="B26" s="6"/>
      <c r="C26" s="6"/>
      <c r="D26" s="6"/>
      <c r="E26" s="6"/>
      <c r="F26" s="6"/>
      <c r="G26" s="6"/>
      <c r="H26" s="10"/>
      <c r="I26" s="4" t="s">
        <v>52</v>
      </c>
      <c r="J26" s="15">
        <v>0.12676056338028169</v>
      </c>
      <c r="K26" s="4" t="s">
        <v>14</v>
      </c>
      <c r="L26" s="15">
        <v>0.33098591549295775</v>
      </c>
      <c r="M26" s="6"/>
      <c r="N26" s="6"/>
      <c r="O26" s="6"/>
      <c r="P26" s="6"/>
      <c r="Q26" s="6"/>
      <c r="R26" s="6"/>
      <c r="S26" s="6"/>
      <c r="T26" s="6"/>
      <c r="U26" s="6"/>
      <c r="V26" s="6"/>
      <c r="W26" s="6"/>
      <c r="X26" s="6"/>
    </row>
    <row r="27" spans="1:30" x14ac:dyDescent="0.35">
      <c r="A27" s="6"/>
      <c r="B27" s="6"/>
      <c r="C27" s="6"/>
      <c r="D27" s="6"/>
      <c r="E27" s="6"/>
      <c r="F27" s="6"/>
      <c r="G27" s="6"/>
      <c r="H27" s="6"/>
      <c r="I27" s="4" t="s">
        <v>235</v>
      </c>
      <c r="J27" s="15">
        <v>3.5211267605633804E-2</v>
      </c>
      <c r="K27" s="4" t="s">
        <v>16</v>
      </c>
      <c r="L27" s="15">
        <v>0.62676056338028174</v>
      </c>
      <c r="M27" s="6"/>
      <c r="N27" s="6"/>
      <c r="O27" s="6"/>
      <c r="P27" s="6"/>
      <c r="Q27" s="6"/>
      <c r="R27" s="6"/>
      <c r="S27" s="6"/>
      <c r="T27" s="6"/>
      <c r="U27" s="6"/>
      <c r="V27" s="6"/>
      <c r="W27" s="6"/>
      <c r="X27" s="6"/>
    </row>
    <row r="28" spans="1:30" x14ac:dyDescent="0.35">
      <c r="A28" s="6"/>
      <c r="B28" s="6"/>
      <c r="C28" s="6"/>
      <c r="D28" s="6"/>
      <c r="E28" s="6"/>
      <c r="F28" s="6"/>
      <c r="G28" s="6"/>
      <c r="H28" s="10"/>
      <c r="I28" s="4" t="s">
        <v>50</v>
      </c>
      <c r="J28" s="15">
        <v>0.78169014084507038</v>
      </c>
      <c r="K28" s="4" t="s">
        <v>15</v>
      </c>
      <c r="L28" s="15">
        <v>0.45070422535211269</v>
      </c>
      <c r="M28" s="6"/>
      <c r="N28" s="6"/>
      <c r="O28" s="6"/>
      <c r="P28" s="6"/>
      <c r="Q28" s="6"/>
      <c r="R28" s="6"/>
      <c r="S28" s="6"/>
      <c r="T28" s="6"/>
      <c r="U28" s="6"/>
      <c r="V28" s="6"/>
      <c r="W28" s="6"/>
      <c r="X28" s="6"/>
    </row>
    <row r="29" spans="1:30" x14ac:dyDescent="0.35">
      <c r="A29" s="6"/>
      <c r="B29" s="6"/>
      <c r="C29" s="6"/>
      <c r="D29" s="6"/>
      <c r="E29" s="6"/>
      <c r="F29" s="6"/>
      <c r="G29" s="6"/>
      <c r="H29" s="6"/>
      <c r="I29" s="6"/>
      <c r="J29" s="6"/>
      <c r="K29" s="6"/>
      <c r="L29" s="6"/>
      <c r="M29" s="6"/>
      <c r="N29" s="6"/>
      <c r="O29" s="6"/>
      <c r="P29" s="6"/>
      <c r="Q29" s="6"/>
      <c r="R29" s="6"/>
      <c r="S29" s="6"/>
      <c r="T29" s="6"/>
      <c r="U29" s="6"/>
      <c r="V29" s="6"/>
      <c r="W29" s="6"/>
      <c r="X29" s="6"/>
    </row>
    <row r="30" spans="1:30" x14ac:dyDescent="0.35">
      <c r="A30" s="6"/>
      <c r="B30" s="6"/>
      <c r="C30" s="6"/>
      <c r="D30" s="6"/>
      <c r="E30" s="6"/>
      <c r="F30" s="6"/>
      <c r="G30" s="6"/>
      <c r="H30" s="6"/>
      <c r="I30" s="6"/>
      <c r="J30" s="6"/>
      <c r="K30" s="6"/>
      <c r="L30" s="6"/>
      <c r="M30" s="6"/>
      <c r="N30" s="6"/>
      <c r="O30" s="6"/>
      <c r="P30" s="6"/>
      <c r="Q30" s="6"/>
      <c r="R30" s="6"/>
      <c r="S30" s="6"/>
      <c r="T30" s="6"/>
      <c r="U30" s="6"/>
      <c r="V30" s="6"/>
      <c r="W30" s="6"/>
      <c r="X30" s="6"/>
    </row>
    <row r="31" spans="1:30" x14ac:dyDescent="0.35">
      <c r="A31" s="6"/>
      <c r="B31" s="6"/>
      <c r="C31" s="6"/>
      <c r="D31" s="6"/>
      <c r="E31" s="6"/>
      <c r="F31" s="6"/>
      <c r="G31" s="6"/>
      <c r="H31" s="6"/>
      <c r="I31" s="6"/>
      <c r="J31" s="6"/>
      <c r="K31" s="6"/>
      <c r="L31" s="6"/>
      <c r="M31" s="6"/>
      <c r="N31" s="6"/>
      <c r="O31" s="6"/>
      <c r="P31" s="6"/>
      <c r="Q31" s="6"/>
      <c r="R31" s="6"/>
      <c r="S31" s="6"/>
      <c r="T31" s="6"/>
      <c r="U31" s="6"/>
      <c r="V31" s="6"/>
      <c r="W31" s="6"/>
      <c r="X31" s="6"/>
    </row>
    <row r="32" spans="1:30" x14ac:dyDescent="0.35">
      <c r="A32" s="6"/>
      <c r="B32" s="6"/>
      <c r="C32" s="6"/>
      <c r="D32" s="6"/>
      <c r="E32" s="6"/>
      <c r="F32" s="6"/>
      <c r="G32" s="6"/>
      <c r="H32" s="6"/>
      <c r="I32" s="6"/>
      <c r="J32" s="6"/>
      <c r="K32" s="6"/>
      <c r="L32" s="6"/>
      <c r="M32" s="6"/>
      <c r="N32" s="6"/>
      <c r="O32" s="6"/>
      <c r="P32" s="6"/>
      <c r="Q32" s="6"/>
      <c r="R32" s="6"/>
      <c r="S32" s="6"/>
      <c r="T32" s="6"/>
      <c r="U32" s="6"/>
      <c r="V32" s="6"/>
      <c r="W32" s="6"/>
      <c r="X32" s="6"/>
    </row>
    <row r="33" spans="1:24" x14ac:dyDescent="0.35">
      <c r="A33" s="6"/>
      <c r="B33" s="6"/>
      <c r="C33" s="6"/>
      <c r="D33" s="6"/>
      <c r="E33" s="6"/>
      <c r="F33" s="6"/>
      <c r="G33" s="6"/>
      <c r="H33" s="6"/>
      <c r="I33" s="7"/>
      <c r="J33" s="7"/>
      <c r="K33"/>
      <c r="L33"/>
      <c r="M33" s="6"/>
      <c r="N33" s="6"/>
      <c r="O33" s="6"/>
      <c r="P33" s="6"/>
      <c r="Q33" s="6"/>
      <c r="R33" s="6"/>
      <c r="S33" s="6"/>
      <c r="T33" s="6"/>
      <c r="U33" s="6"/>
      <c r="V33" s="6"/>
      <c r="W33" s="6"/>
      <c r="X33" s="6"/>
    </row>
    <row r="34" spans="1:24" x14ac:dyDescent="0.35">
      <c r="A34" s="6"/>
      <c r="K34"/>
      <c r="L34"/>
      <c r="M34" s="6"/>
      <c r="N34" s="6"/>
      <c r="O34" s="6"/>
      <c r="P34" s="6"/>
      <c r="Q34" s="6"/>
      <c r="R34" s="6"/>
      <c r="S34" s="6"/>
      <c r="T34" s="6"/>
      <c r="U34" s="6"/>
      <c r="V34" s="6"/>
      <c r="W34" s="6"/>
      <c r="X34" s="6"/>
    </row>
    <row r="35" spans="1:24" x14ac:dyDescent="0.35">
      <c r="A35" s="6"/>
      <c r="K35"/>
      <c r="L35"/>
      <c r="M35" s="6"/>
      <c r="N35" s="6"/>
      <c r="O35" s="6"/>
      <c r="P35" s="6"/>
      <c r="Q35" s="6"/>
      <c r="R35" s="6"/>
      <c r="S35" s="6"/>
      <c r="T35" s="6"/>
      <c r="U35" s="6"/>
      <c r="V35" s="6"/>
      <c r="W35" s="6"/>
      <c r="X35" s="6"/>
    </row>
    <row r="36" spans="1:24" x14ac:dyDescent="0.35">
      <c r="A36" s="6"/>
      <c r="K36"/>
      <c r="L36"/>
      <c r="M36" s="6"/>
      <c r="N36" s="6"/>
      <c r="O36" s="6"/>
      <c r="P36" s="6"/>
      <c r="Q36" s="6"/>
      <c r="R36" s="6"/>
      <c r="S36" s="6"/>
      <c r="T36" s="6"/>
      <c r="U36" s="6"/>
      <c r="V36" s="6"/>
      <c r="W36" s="6"/>
      <c r="X36" s="6"/>
    </row>
    <row r="37" spans="1:24" x14ac:dyDescent="0.35">
      <c r="A37" s="6"/>
      <c r="K37"/>
      <c r="L37"/>
      <c r="M37" s="6"/>
      <c r="N37" s="6"/>
      <c r="O37" s="6"/>
      <c r="P37" s="6"/>
      <c r="Q37" s="6"/>
      <c r="R37" s="6"/>
      <c r="S37" s="6"/>
      <c r="T37" s="6"/>
      <c r="U37" s="6"/>
      <c r="V37" s="6"/>
      <c r="W37" s="6"/>
      <c r="X37" s="6"/>
    </row>
    <row r="38" spans="1:24" x14ac:dyDescent="0.35">
      <c r="A38" s="6"/>
      <c r="K38"/>
      <c r="L38"/>
      <c r="M38" s="6"/>
      <c r="N38" s="6"/>
      <c r="O38" s="6"/>
      <c r="P38" s="6"/>
      <c r="Q38" s="6"/>
      <c r="R38" s="6"/>
      <c r="S38" s="6"/>
      <c r="T38" s="6"/>
      <c r="U38" s="6"/>
      <c r="V38" s="6"/>
      <c r="W38" s="6"/>
      <c r="X38" s="6"/>
    </row>
    <row r="39" spans="1:24" x14ac:dyDescent="0.35">
      <c r="A39" s="6"/>
      <c r="K39"/>
      <c r="L39"/>
      <c r="M39" s="6"/>
      <c r="N39" s="6"/>
      <c r="O39" s="6"/>
      <c r="P39" s="6"/>
      <c r="Q39" s="6"/>
      <c r="R39" s="6"/>
      <c r="S39" s="6"/>
      <c r="T39" s="6"/>
      <c r="U39" s="6"/>
      <c r="V39" s="6"/>
      <c r="W39" s="6"/>
      <c r="X39" s="6"/>
    </row>
    <row r="40" spans="1:24" x14ac:dyDescent="0.35">
      <c r="A40" s="6"/>
      <c r="K40"/>
      <c r="L40"/>
      <c r="M40" s="6"/>
      <c r="N40" s="6"/>
      <c r="O40" s="6"/>
      <c r="P40" s="6"/>
      <c r="Q40" s="6"/>
      <c r="R40" s="6"/>
      <c r="S40" s="6"/>
      <c r="T40" s="6"/>
      <c r="U40" s="6"/>
      <c r="V40" s="6"/>
      <c r="W40" s="6"/>
      <c r="X40" s="6"/>
    </row>
    <row r="41" spans="1:24" x14ac:dyDescent="0.35">
      <c r="A41" s="6"/>
      <c r="M41" s="6"/>
      <c r="N41" s="6"/>
      <c r="O41" s="6"/>
      <c r="P41" s="6"/>
      <c r="Q41" s="6"/>
      <c r="R41" s="6"/>
      <c r="S41" s="6"/>
      <c r="T41" s="6"/>
      <c r="U41" s="6"/>
      <c r="V41" s="6"/>
      <c r="W41" s="6"/>
      <c r="X41" s="6"/>
    </row>
    <row r="42" spans="1:24" x14ac:dyDescent="0.35">
      <c r="A42" s="6"/>
      <c r="M42" s="6"/>
      <c r="N42" s="6"/>
      <c r="O42" s="6"/>
      <c r="P42" s="6"/>
      <c r="Q42" s="6"/>
      <c r="R42" s="6"/>
      <c r="S42" s="6"/>
      <c r="T42" s="6"/>
      <c r="U42" s="6"/>
      <c r="V42" s="6"/>
      <c r="W42" s="6"/>
      <c r="X42" s="6"/>
    </row>
    <row r="43" spans="1:24" x14ac:dyDescent="0.35">
      <c r="A43" s="6"/>
      <c r="M43" s="6"/>
      <c r="N43" s="6"/>
      <c r="O43" s="6"/>
      <c r="P43" s="6"/>
      <c r="Q43" s="6"/>
      <c r="R43" s="6"/>
      <c r="S43" s="6"/>
      <c r="T43" s="6"/>
      <c r="U43" s="6"/>
      <c r="V43" s="6"/>
      <c r="W43" s="6"/>
      <c r="X43" s="6"/>
    </row>
    <row r="44" spans="1:24" x14ac:dyDescent="0.35">
      <c r="A44" s="6"/>
      <c r="M44" s="6"/>
      <c r="N44" s="6"/>
      <c r="O44" s="6"/>
      <c r="P44" s="6"/>
      <c r="Q44" s="6"/>
      <c r="R44" s="6"/>
      <c r="S44" s="6"/>
      <c r="T44" s="6"/>
      <c r="U44" s="6"/>
      <c r="V44" s="6"/>
      <c r="W44" s="6"/>
      <c r="X44" s="6"/>
    </row>
    <row r="45" spans="1:24" x14ac:dyDescent="0.35">
      <c r="A45" s="6"/>
      <c r="M45" s="6"/>
      <c r="N45" s="6"/>
      <c r="O45" s="6"/>
      <c r="P45" s="6"/>
      <c r="Q45" s="6"/>
      <c r="R45" s="6"/>
      <c r="S45" s="6"/>
      <c r="T45" s="6"/>
      <c r="U45" s="6"/>
      <c r="V45" s="6"/>
      <c r="W45" s="6"/>
      <c r="X45" s="6"/>
    </row>
    <row r="46" spans="1:24" x14ac:dyDescent="0.35">
      <c r="A46" s="6"/>
      <c r="M46" s="6"/>
      <c r="N46" s="6"/>
      <c r="O46" s="6"/>
      <c r="P46" s="6"/>
      <c r="Q46" s="6"/>
      <c r="R46" s="6"/>
      <c r="S46" s="6"/>
      <c r="T46" s="6"/>
      <c r="U46" s="6"/>
      <c r="V46" s="6"/>
      <c r="W46" s="6"/>
      <c r="X46" s="6"/>
    </row>
    <row r="47" spans="1:24" x14ac:dyDescent="0.35">
      <c r="A47" s="6"/>
      <c r="M47" s="6"/>
      <c r="N47" s="6"/>
      <c r="O47" s="6"/>
      <c r="P47" s="6"/>
      <c r="Q47" s="6"/>
      <c r="R47" s="6"/>
      <c r="S47" s="6"/>
      <c r="T47" s="6"/>
      <c r="U47" s="6"/>
      <c r="V47" s="6"/>
      <c r="W47" s="6"/>
      <c r="X47" s="6"/>
    </row>
    <row r="48" spans="1:24" x14ac:dyDescent="0.35">
      <c r="A48" s="6"/>
      <c r="M48" s="6"/>
      <c r="N48" s="6"/>
      <c r="O48" s="6"/>
      <c r="P48" s="6"/>
      <c r="Q48" s="6"/>
      <c r="R48" s="6"/>
      <c r="S48" s="6"/>
      <c r="T48" s="6"/>
      <c r="U48" s="6"/>
      <c r="V48" s="6"/>
      <c r="W48" s="6"/>
      <c r="X48" s="6"/>
    </row>
    <row r="49" spans="1:24" x14ac:dyDescent="0.35">
      <c r="A49" s="6"/>
      <c r="M49" s="6"/>
      <c r="N49" s="6"/>
      <c r="O49" s="6"/>
      <c r="P49" s="6"/>
      <c r="Q49" s="6"/>
      <c r="R49" s="6"/>
      <c r="S49" s="6"/>
      <c r="T49" s="6"/>
      <c r="U49" s="6"/>
      <c r="V49" s="6"/>
      <c r="W49" s="6"/>
      <c r="X49" s="6"/>
    </row>
    <row r="50" spans="1:24" x14ac:dyDescent="0.35">
      <c r="A50" s="6"/>
      <c r="M50" s="6"/>
      <c r="N50" s="6"/>
      <c r="O50" s="6"/>
      <c r="P50" s="6"/>
      <c r="Q50" s="6"/>
      <c r="R50" s="6"/>
      <c r="S50" s="6"/>
      <c r="T50" s="6"/>
      <c r="U50" s="6"/>
      <c r="V50" s="6"/>
      <c r="W50" s="6"/>
      <c r="X50" s="6"/>
    </row>
    <row r="51" spans="1:24" x14ac:dyDescent="0.35">
      <c r="A51" s="6"/>
      <c r="M51" s="6"/>
      <c r="N51" s="6"/>
      <c r="O51" s="6"/>
      <c r="P51" s="6"/>
      <c r="Q51" s="6"/>
      <c r="R51" s="6"/>
      <c r="S51" s="6"/>
      <c r="T51" s="6"/>
      <c r="U51" s="6"/>
      <c r="V51" s="6"/>
      <c r="W51" s="6"/>
      <c r="X51" s="6"/>
    </row>
    <row r="52" spans="1:24" x14ac:dyDescent="0.35">
      <c r="A52" s="6"/>
      <c r="M52" s="6"/>
      <c r="N52" s="6"/>
      <c r="O52" s="6"/>
      <c r="P52" s="6"/>
      <c r="Q52" s="6"/>
      <c r="R52" s="6"/>
      <c r="S52" s="6"/>
      <c r="T52" s="6"/>
      <c r="U52" s="6"/>
      <c r="V52" s="6"/>
      <c r="W52" s="6"/>
      <c r="X52" s="6"/>
    </row>
    <row r="53" spans="1:24" x14ac:dyDescent="0.35">
      <c r="A53" s="6"/>
      <c r="M53" s="6"/>
      <c r="N53" s="6"/>
      <c r="O53" s="6"/>
      <c r="P53" s="6"/>
      <c r="Q53" s="6"/>
      <c r="R53" s="6"/>
      <c r="S53" s="6"/>
      <c r="T53" s="6"/>
      <c r="U53" s="6"/>
      <c r="V53" s="6"/>
      <c r="W53" s="6"/>
      <c r="X53" s="6"/>
    </row>
    <row r="54" spans="1:24" x14ac:dyDescent="0.35">
      <c r="A54" s="6"/>
      <c r="M54" s="6"/>
      <c r="N54" s="6"/>
      <c r="O54" s="6"/>
      <c r="P54" s="6"/>
      <c r="Q54" s="6"/>
      <c r="R54" s="6"/>
      <c r="S54" s="6"/>
      <c r="T54" s="6"/>
      <c r="U54" s="6"/>
      <c r="V54" s="6"/>
      <c r="W54" s="6"/>
      <c r="X54" s="6"/>
    </row>
    <row r="55" spans="1:24" x14ac:dyDescent="0.35">
      <c r="A55" s="6"/>
      <c r="M55" s="6"/>
      <c r="N55" s="6"/>
      <c r="O55" s="6"/>
      <c r="P55" s="6"/>
      <c r="Q55" s="6"/>
      <c r="R55" s="6"/>
      <c r="S55" s="6"/>
      <c r="T55" s="6"/>
      <c r="U55" s="6"/>
      <c r="V55" s="6"/>
      <c r="W55" s="6"/>
      <c r="X55" s="6"/>
    </row>
    <row r="56" spans="1:24" x14ac:dyDescent="0.35">
      <c r="A56" s="6"/>
      <c r="M56" s="6"/>
      <c r="N56" s="6"/>
      <c r="O56" s="6"/>
      <c r="P56" s="6"/>
      <c r="Q56" s="6"/>
      <c r="R56" s="6"/>
      <c r="S56" s="6"/>
      <c r="T56" s="6"/>
      <c r="U56" s="6"/>
      <c r="V56" s="6"/>
      <c r="W56" s="6"/>
      <c r="X56" s="6"/>
    </row>
    <row r="57" spans="1:24" x14ac:dyDescent="0.35">
      <c r="A57" s="6"/>
      <c r="M57" s="6"/>
      <c r="N57" s="6"/>
      <c r="O57" s="6"/>
      <c r="P57" s="6"/>
      <c r="Q57" s="6"/>
      <c r="R57" s="6"/>
      <c r="S57" s="6"/>
      <c r="T57" s="6"/>
      <c r="U57" s="6"/>
      <c r="V57" s="6"/>
      <c r="W57" s="6"/>
      <c r="X57" s="6"/>
    </row>
    <row r="59" spans="1:24" ht="23.5" x14ac:dyDescent="0.55000000000000004">
      <c r="A59" s="13" t="s">
        <v>219</v>
      </c>
      <c r="B59" s="13"/>
      <c r="C59" s="14"/>
      <c r="D59" s="14"/>
      <c r="E59" s="14"/>
      <c r="F59" s="14"/>
    </row>
    <row r="60" spans="1:24" ht="23.5" x14ac:dyDescent="0.55000000000000004">
      <c r="A60" s="12" t="s">
        <v>217</v>
      </c>
      <c r="B60" s="12"/>
    </row>
    <row r="61" spans="1:24" ht="23.5" x14ac:dyDescent="0.55000000000000004">
      <c r="A61" s="12" t="s">
        <v>218</v>
      </c>
      <c r="B61" s="12"/>
    </row>
  </sheetData>
  <sheetProtection autoFilter="0" pivotTables="0"/>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6385" r:id="rId8" name="Button 1">
              <controlPr defaultSize="0" print="0" autoFill="0" autoPict="0" macro="[0]!Button3_Click">
                <anchor moveWithCells="1" sizeWithCells="1">
                  <from>
                    <xdr:col>8</xdr:col>
                    <xdr:colOff>1365250</xdr:colOff>
                    <xdr:row>28</xdr:row>
                    <xdr:rowOff>101600</xdr:rowOff>
                  </from>
                  <to>
                    <xdr:col>10</xdr:col>
                    <xdr:colOff>793750</xdr:colOff>
                    <xdr:row>30</xdr:row>
                    <xdr:rowOff>165100</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2A477D-20D0-4708-8CAE-A354AFCD6558}">
  <dimension ref="B3:E13"/>
  <sheetViews>
    <sheetView workbookViewId="0">
      <selection activeCell="D9" sqref="D9"/>
    </sheetView>
  </sheetViews>
  <sheetFormatPr defaultRowHeight="14.5" x14ac:dyDescent="0.35"/>
  <cols>
    <col min="2" max="2" width="25.54296875" bestFit="1" customWidth="1"/>
    <col min="3" max="3" width="8.7265625" style="11"/>
    <col min="4" max="4" width="14.7265625" bestFit="1" customWidth="1"/>
    <col min="5" max="5" width="8.7265625" style="11"/>
  </cols>
  <sheetData>
    <row r="3" spans="2:5" x14ac:dyDescent="0.35">
      <c r="B3" s="3" t="s">
        <v>25</v>
      </c>
      <c r="C3" s="11" t="s">
        <v>197</v>
      </c>
      <c r="D3" s="3" t="s">
        <v>1</v>
      </c>
      <c r="E3" s="11" t="s">
        <v>197</v>
      </c>
    </row>
    <row r="4" spans="2:5" x14ac:dyDescent="0.35">
      <c r="B4" s="4" t="s">
        <v>231</v>
      </c>
      <c r="C4" s="15">
        <v>0.73943661971830987</v>
      </c>
      <c r="D4" s="4" t="s">
        <v>49</v>
      </c>
      <c r="E4" s="15">
        <v>0.31494057724957553</v>
      </c>
    </row>
    <row r="5" spans="2:5" x14ac:dyDescent="0.35">
      <c r="B5" s="4" t="s">
        <v>230</v>
      </c>
      <c r="C5" s="15">
        <v>0.15492957746478872</v>
      </c>
      <c r="D5" s="4" t="s">
        <v>66</v>
      </c>
      <c r="E5" s="15">
        <v>8.3191850594227498E-2</v>
      </c>
    </row>
    <row r="6" spans="2:5" x14ac:dyDescent="0.35">
      <c r="B6" s="4" t="s">
        <v>232</v>
      </c>
      <c r="C6" s="15">
        <v>0.10563380281690141</v>
      </c>
      <c r="D6" s="4" t="s">
        <v>56</v>
      </c>
      <c r="E6" s="15">
        <v>0.60186757215619691</v>
      </c>
    </row>
    <row r="9" spans="2:5" x14ac:dyDescent="0.35">
      <c r="B9" s="3" t="s">
        <v>18</v>
      </c>
      <c r="C9" s="11" t="s">
        <v>197</v>
      </c>
      <c r="D9" s="3" t="s">
        <v>198</v>
      </c>
      <c r="E9" s="11" t="s">
        <v>197</v>
      </c>
    </row>
    <row r="10" spans="2:5" x14ac:dyDescent="0.35">
      <c r="B10" s="4" t="s">
        <v>238</v>
      </c>
      <c r="C10" s="15">
        <v>5.6338028169014086E-2</v>
      </c>
      <c r="D10" s="4" t="s">
        <v>17</v>
      </c>
      <c r="E10" s="15">
        <v>0.42957746478873238</v>
      </c>
    </row>
    <row r="11" spans="2:5" x14ac:dyDescent="0.35">
      <c r="B11" s="4" t="s">
        <v>52</v>
      </c>
      <c r="C11" s="15">
        <v>0.12676056338028169</v>
      </c>
      <c r="D11" s="4" t="s">
        <v>14</v>
      </c>
      <c r="E11" s="15">
        <v>0.33098591549295775</v>
      </c>
    </row>
    <row r="12" spans="2:5" x14ac:dyDescent="0.35">
      <c r="B12" s="4" t="s">
        <v>235</v>
      </c>
      <c r="C12" s="15">
        <v>3.5211267605633804E-2</v>
      </c>
      <c r="D12" s="4" t="s">
        <v>16</v>
      </c>
      <c r="E12" s="15">
        <v>0.62676056338028174</v>
      </c>
    </row>
    <row r="13" spans="2:5" x14ac:dyDescent="0.35">
      <c r="B13" s="4" t="s">
        <v>50</v>
      </c>
      <c r="C13" s="15">
        <v>0.78169014084507038</v>
      </c>
      <c r="D13" s="4" t="s">
        <v>15</v>
      </c>
      <c r="E13" s="15">
        <v>0.45070422535211269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3017A-E86C-43EB-8508-BAA06F66DF4F}">
  <dimension ref="A1:F6"/>
  <sheetViews>
    <sheetView topLeftCell="A4" workbookViewId="0">
      <selection activeCell="M15" sqref="M15"/>
    </sheetView>
  </sheetViews>
  <sheetFormatPr defaultRowHeight="14.5" x14ac:dyDescent="0.35"/>
  <sheetData>
    <row r="1" spans="1:6" x14ac:dyDescent="0.35">
      <c r="A1" s="3" t="s">
        <v>210</v>
      </c>
      <c r="B1" s="3" t="s">
        <v>196</v>
      </c>
    </row>
    <row r="2" spans="1:6" x14ac:dyDescent="0.35">
      <c r="A2" s="3" t="s">
        <v>194</v>
      </c>
      <c r="B2" t="s">
        <v>238</v>
      </c>
      <c r="C2" t="s">
        <v>52</v>
      </c>
      <c r="D2" t="s">
        <v>235</v>
      </c>
      <c r="E2" t="s">
        <v>50</v>
      </c>
      <c r="F2" t="s">
        <v>195</v>
      </c>
    </row>
    <row r="3" spans="1:6" x14ac:dyDescent="0.35">
      <c r="A3" s="4" t="s">
        <v>49</v>
      </c>
      <c r="B3" s="2"/>
      <c r="C3" s="2">
        <v>14</v>
      </c>
      <c r="D3" s="2">
        <v>2</v>
      </c>
      <c r="E3" s="2">
        <v>41</v>
      </c>
      <c r="F3" s="2">
        <v>57</v>
      </c>
    </row>
    <row r="4" spans="1:6" x14ac:dyDescent="0.35">
      <c r="A4" s="4" t="s">
        <v>66</v>
      </c>
      <c r="B4" s="2">
        <v>3</v>
      </c>
      <c r="C4" s="2">
        <v>3</v>
      </c>
      <c r="D4" s="2">
        <v>1</v>
      </c>
      <c r="E4" s="2">
        <v>10</v>
      </c>
      <c r="F4" s="2">
        <v>17</v>
      </c>
    </row>
    <row r="5" spans="1:6" x14ac:dyDescent="0.35">
      <c r="A5" s="4" t="s">
        <v>56</v>
      </c>
      <c r="B5" s="2">
        <v>5</v>
      </c>
      <c r="C5" s="2">
        <v>1</v>
      </c>
      <c r="D5" s="2">
        <v>2</v>
      </c>
      <c r="E5" s="2">
        <v>60</v>
      </c>
      <c r="F5" s="2">
        <v>68</v>
      </c>
    </row>
    <row r="6" spans="1:6" x14ac:dyDescent="0.35">
      <c r="A6" s="4" t="s">
        <v>195</v>
      </c>
      <c r="B6" s="2">
        <v>8</v>
      </c>
      <c r="C6" s="2">
        <v>18</v>
      </c>
      <c r="D6" s="2">
        <v>5</v>
      </c>
      <c r="E6" s="2">
        <v>111</v>
      </c>
      <c r="F6" s="2">
        <v>142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F41FE8-A60D-4227-8F01-B470CEBDA584}">
  <dimension ref="A1:B14"/>
  <sheetViews>
    <sheetView workbookViewId="0">
      <selection activeCell="D9" sqref="D9"/>
    </sheetView>
  </sheetViews>
  <sheetFormatPr defaultRowHeight="14.5" x14ac:dyDescent="0.35"/>
  <sheetData>
    <row r="1" spans="1:2" x14ac:dyDescent="0.35">
      <c r="A1" s="3" t="s">
        <v>194</v>
      </c>
      <c r="B1" t="s">
        <v>210</v>
      </c>
    </row>
    <row r="2" spans="1:2" x14ac:dyDescent="0.35">
      <c r="A2" s="4">
        <v>2010</v>
      </c>
      <c r="B2" s="2">
        <v>1</v>
      </c>
    </row>
    <row r="3" spans="1:2" x14ac:dyDescent="0.35">
      <c r="A3" s="4">
        <v>2011</v>
      </c>
      <c r="B3" s="2">
        <v>2</v>
      </c>
    </row>
    <row r="4" spans="1:2" x14ac:dyDescent="0.35">
      <c r="A4" s="4">
        <v>2012</v>
      </c>
      <c r="B4" s="2">
        <v>4</v>
      </c>
    </row>
    <row r="5" spans="1:2" x14ac:dyDescent="0.35">
      <c r="A5" s="4">
        <v>2013</v>
      </c>
      <c r="B5" s="2">
        <v>1</v>
      </c>
    </row>
    <row r="6" spans="1:2" x14ac:dyDescent="0.35">
      <c r="A6" s="4">
        <v>2014</v>
      </c>
      <c r="B6" s="2">
        <v>6</v>
      </c>
    </row>
    <row r="7" spans="1:2" x14ac:dyDescent="0.35">
      <c r="A7" s="4">
        <v>2015</v>
      </c>
      <c r="B7" s="2">
        <v>5</v>
      </c>
    </row>
    <row r="8" spans="1:2" x14ac:dyDescent="0.35">
      <c r="A8" s="4">
        <v>2016</v>
      </c>
      <c r="B8" s="2">
        <v>7</v>
      </c>
    </row>
    <row r="9" spans="1:2" x14ac:dyDescent="0.35">
      <c r="A9" s="4">
        <v>2017</v>
      </c>
      <c r="B9" s="2">
        <v>15</v>
      </c>
    </row>
    <row r="10" spans="1:2" x14ac:dyDescent="0.35">
      <c r="A10" s="4">
        <v>2018</v>
      </c>
      <c r="B10" s="2">
        <v>21</v>
      </c>
    </row>
    <row r="11" spans="1:2" x14ac:dyDescent="0.35">
      <c r="A11" s="4">
        <v>2019</v>
      </c>
      <c r="B11" s="2">
        <v>22</v>
      </c>
    </row>
    <row r="12" spans="1:2" x14ac:dyDescent="0.35">
      <c r="A12" s="4">
        <v>2020</v>
      </c>
      <c r="B12" s="2">
        <v>22</v>
      </c>
    </row>
    <row r="13" spans="1:2" x14ac:dyDescent="0.35">
      <c r="A13" s="4">
        <v>2021</v>
      </c>
      <c r="B13" s="2">
        <v>36</v>
      </c>
    </row>
    <row r="14" spans="1:2" x14ac:dyDescent="0.35">
      <c r="A14" s="4" t="s">
        <v>195</v>
      </c>
      <c r="B14" s="2">
        <v>142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4868C-88AE-4698-8B31-975403E6AE71}">
  <dimension ref="A1:F3"/>
  <sheetViews>
    <sheetView workbookViewId="0">
      <selection activeCell="M17" sqref="M17"/>
    </sheetView>
  </sheetViews>
  <sheetFormatPr defaultRowHeight="14.5" x14ac:dyDescent="0.35"/>
  <sheetData>
    <row r="1" spans="1:6" x14ac:dyDescent="0.35">
      <c r="B1" s="3" t="s">
        <v>196</v>
      </c>
    </row>
    <row r="2" spans="1:6" x14ac:dyDescent="0.35">
      <c r="B2" t="s">
        <v>17</v>
      </c>
      <c r="C2" t="s">
        <v>14</v>
      </c>
      <c r="D2" t="s">
        <v>16</v>
      </c>
      <c r="E2" t="s">
        <v>15</v>
      </c>
      <c r="F2" t="s">
        <v>195</v>
      </c>
    </row>
    <row r="3" spans="1:6" x14ac:dyDescent="0.35">
      <c r="A3" t="s">
        <v>210</v>
      </c>
      <c r="B3" s="2">
        <v>61</v>
      </c>
      <c r="C3" s="2">
        <v>47</v>
      </c>
      <c r="D3" s="2">
        <v>89</v>
      </c>
      <c r="E3" s="2">
        <v>64</v>
      </c>
      <c r="F3" s="2">
        <v>142</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26EA79-4890-4886-AB9C-AF108FECF228}">
  <dimension ref="A1:O1179"/>
  <sheetViews>
    <sheetView workbookViewId="0">
      <selection sqref="A1:XFD1048576"/>
    </sheetView>
  </sheetViews>
  <sheetFormatPr defaultRowHeight="14.5" x14ac:dyDescent="0.35"/>
  <cols>
    <col min="1" max="1" width="36.26953125" bestFit="1" customWidth="1"/>
    <col min="2" max="2" width="14.7265625" bestFit="1" customWidth="1"/>
    <col min="3" max="3" width="25.81640625" bestFit="1" customWidth="1"/>
    <col min="4" max="4" width="18.26953125" bestFit="1" customWidth="1"/>
    <col min="5" max="5" width="15.54296875" bestFit="1" customWidth="1"/>
    <col min="6" max="6" width="24.54296875" bestFit="1" customWidth="1"/>
    <col min="7" max="7" width="7.81640625" bestFit="1" customWidth="1"/>
    <col min="8" max="8" width="20.1796875" bestFit="1" customWidth="1"/>
    <col min="9" max="9" width="9.36328125" bestFit="1" customWidth="1"/>
    <col min="10" max="10" width="10.453125" bestFit="1" customWidth="1"/>
    <col min="11" max="11" width="9.36328125" bestFit="1" customWidth="1"/>
    <col min="12" max="12" width="27.1796875" bestFit="1" customWidth="1"/>
    <col min="13" max="13" width="9.36328125" bestFit="1" customWidth="1"/>
    <col min="14" max="14" width="40.81640625" bestFit="1" customWidth="1"/>
    <col min="15" max="15" width="9.36328125" bestFit="1" customWidth="1"/>
  </cols>
  <sheetData>
    <row r="1" spans="1:15" x14ac:dyDescent="0.35">
      <c r="A1" t="s">
        <v>0</v>
      </c>
      <c r="B1" t="s">
        <v>1</v>
      </c>
      <c r="C1" t="s">
        <v>18</v>
      </c>
      <c r="D1" t="s">
        <v>25</v>
      </c>
      <c r="E1" t="s">
        <v>47</v>
      </c>
      <c r="F1" t="s">
        <v>205</v>
      </c>
      <c r="G1" t="s">
        <v>206</v>
      </c>
      <c r="H1" t="s">
        <v>207</v>
      </c>
      <c r="I1" t="s">
        <v>208</v>
      </c>
      <c r="J1" t="s">
        <v>198</v>
      </c>
      <c r="K1" t="s">
        <v>209</v>
      </c>
      <c r="L1" t="s">
        <v>211</v>
      </c>
      <c r="M1" t="s">
        <v>220</v>
      </c>
      <c r="N1" t="s">
        <v>222</v>
      </c>
      <c r="O1" t="s">
        <v>221</v>
      </c>
    </row>
    <row r="2" spans="1:15" x14ac:dyDescent="0.35">
      <c r="A2" s="2" t="s">
        <v>55</v>
      </c>
      <c r="B2" s="2" t="s">
        <v>56</v>
      </c>
      <c r="C2" s="2" t="s">
        <v>50</v>
      </c>
      <c r="D2" s="2" t="s">
        <v>231</v>
      </c>
      <c r="E2">
        <v>2016</v>
      </c>
      <c r="F2" s="2" t="s">
        <v>6</v>
      </c>
      <c r="G2">
        <v>1</v>
      </c>
      <c r="H2" s="2" t="s">
        <v>7</v>
      </c>
      <c r="I2">
        <v>1</v>
      </c>
      <c r="J2" s="2" t="s">
        <v>16</v>
      </c>
      <c r="K2">
        <v>1</v>
      </c>
      <c r="L2" s="2" t="s">
        <v>24</v>
      </c>
      <c r="M2">
        <v>1</v>
      </c>
      <c r="N2" s="2" t="s">
        <v>37</v>
      </c>
      <c r="O2">
        <v>1</v>
      </c>
    </row>
    <row r="3" spans="1:15" x14ac:dyDescent="0.35">
      <c r="A3" s="2" t="s">
        <v>55</v>
      </c>
      <c r="B3" s="2" t="s">
        <v>56</v>
      </c>
      <c r="C3" s="2" t="s">
        <v>50</v>
      </c>
      <c r="D3" s="2" t="s">
        <v>231</v>
      </c>
      <c r="E3">
        <v>2016</v>
      </c>
      <c r="F3" s="2" t="s">
        <v>6</v>
      </c>
      <c r="G3">
        <v>1</v>
      </c>
      <c r="H3" s="2" t="s">
        <v>7</v>
      </c>
      <c r="I3">
        <v>1</v>
      </c>
      <c r="J3" s="2" t="s">
        <v>16</v>
      </c>
      <c r="K3">
        <v>1</v>
      </c>
      <c r="L3" s="2" t="s">
        <v>24</v>
      </c>
      <c r="M3">
        <v>1</v>
      </c>
      <c r="N3" s="2" t="s">
        <v>38</v>
      </c>
      <c r="O3">
        <v>1</v>
      </c>
    </row>
    <row r="4" spans="1:15" x14ac:dyDescent="0.35">
      <c r="A4" s="2" t="s">
        <v>55</v>
      </c>
      <c r="B4" s="2" t="s">
        <v>56</v>
      </c>
      <c r="C4" s="2" t="s">
        <v>50</v>
      </c>
      <c r="D4" s="2" t="s">
        <v>231</v>
      </c>
      <c r="E4">
        <v>2016</v>
      </c>
      <c r="F4" s="2" t="s">
        <v>6</v>
      </c>
      <c r="G4">
        <v>1</v>
      </c>
      <c r="H4" s="2" t="s">
        <v>7</v>
      </c>
      <c r="I4">
        <v>1</v>
      </c>
      <c r="J4" s="2" t="s">
        <v>16</v>
      </c>
      <c r="K4">
        <v>1</v>
      </c>
      <c r="L4" s="2" t="s">
        <v>24</v>
      </c>
      <c r="M4">
        <v>1</v>
      </c>
      <c r="N4" s="2" t="s">
        <v>39</v>
      </c>
      <c r="O4">
        <v>1</v>
      </c>
    </row>
    <row r="5" spans="1:15" x14ac:dyDescent="0.35">
      <c r="A5" s="2" t="s">
        <v>55</v>
      </c>
      <c r="B5" s="2" t="s">
        <v>56</v>
      </c>
      <c r="C5" s="2" t="s">
        <v>50</v>
      </c>
      <c r="D5" s="2" t="s">
        <v>231</v>
      </c>
      <c r="E5">
        <v>2016</v>
      </c>
      <c r="F5" s="2" t="s">
        <v>6</v>
      </c>
      <c r="G5">
        <v>1</v>
      </c>
      <c r="H5" s="2" t="s">
        <v>7</v>
      </c>
      <c r="I5">
        <v>1</v>
      </c>
      <c r="J5" s="2" t="s">
        <v>16</v>
      </c>
      <c r="K5">
        <v>1</v>
      </c>
      <c r="L5" s="2" t="s">
        <v>24</v>
      </c>
      <c r="M5">
        <v>1</v>
      </c>
      <c r="N5" s="2" t="s">
        <v>44</v>
      </c>
      <c r="O5">
        <v>1</v>
      </c>
    </row>
    <row r="6" spans="1:15" x14ac:dyDescent="0.35">
      <c r="A6" s="2" t="s">
        <v>55</v>
      </c>
      <c r="B6" s="2" t="s">
        <v>56</v>
      </c>
      <c r="C6" s="2" t="s">
        <v>50</v>
      </c>
      <c r="D6" s="2" t="s">
        <v>231</v>
      </c>
      <c r="E6">
        <v>2016</v>
      </c>
      <c r="F6" s="2" t="s">
        <v>6</v>
      </c>
      <c r="G6">
        <v>1</v>
      </c>
      <c r="H6" s="2" t="s">
        <v>7</v>
      </c>
      <c r="I6">
        <v>1</v>
      </c>
      <c r="J6" s="2" t="s">
        <v>16</v>
      </c>
      <c r="K6">
        <v>1</v>
      </c>
      <c r="L6" s="2" t="s">
        <v>24</v>
      </c>
      <c r="M6">
        <v>1</v>
      </c>
      <c r="N6" s="2" t="s">
        <v>46</v>
      </c>
      <c r="O6">
        <v>1</v>
      </c>
    </row>
    <row r="7" spans="1:15" x14ac:dyDescent="0.35">
      <c r="A7" s="2" t="s">
        <v>57</v>
      </c>
      <c r="B7" s="2" t="s">
        <v>56</v>
      </c>
      <c r="C7" s="2" t="s">
        <v>50</v>
      </c>
      <c r="D7" s="2" t="s">
        <v>231</v>
      </c>
      <c r="E7">
        <v>2017</v>
      </c>
      <c r="F7" s="2" t="s">
        <v>6</v>
      </c>
      <c r="G7">
        <v>1</v>
      </c>
      <c r="H7" s="2" t="s">
        <v>7</v>
      </c>
      <c r="I7">
        <v>1</v>
      </c>
      <c r="J7" s="2" t="s">
        <v>16</v>
      </c>
      <c r="K7">
        <v>1</v>
      </c>
      <c r="L7" s="2" t="s">
        <v>24</v>
      </c>
      <c r="M7">
        <v>1</v>
      </c>
      <c r="N7" s="2" t="s">
        <v>37</v>
      </c>
      <c r="O7">
        <v>1</v>
      </c>
    </row>
    <row r="8" spans="1:15" x14ac:dyDescent="0.35">
      <c r="A8" s="2" t="s">
        <v>57</v>
      </c>
      <c r="B8" s="2" t="s">
        <v>56</v>
      </c>
      <c r="C8" s="2" t="s">
        <v>50</v>
      </c>
      <c r="D8" s="2" t="s">
        <v>231</v>
      </c>
      <c r="E8">
        <v>2017</v>
      </c>
      <c r="F8" s="2" t="s">
        <v>6</v>
      </c>
      <c r="G8">
        <v>1</v>
      </c>
      <c r="H8" s="2" t="s">
        <v>7</v>
      </c>
      <c r="I8">
        <v>1</v>
      </c>
      <c r="J8" s="2" t="s">
        <v>16</v>
      </c>
      <c r="K8">
        <v>1</v>
      </c>
      <c r="L8" s="2" t="s">
        <v>24</v>
      </c>
      <c r="M8">
        <v>1</v>
      </c>
      <c r="N8" s="2" t="s">
        <v>38</v>
      </c>
      <c r="O8">
        <v>1</v>
      </c>
    </row>
    <row r="9" spans="1:15" x14ac:dyDescent="0.35">
      <c r="A9" s="2" t="s">
        <v>57</v>
      </c>
      <c r="B9" s="2" t="s">
        <v>56</v>
      </c>
      <c r="C9" s="2" t="s">
        <v>50</v>
      </c>
      <c r="D9" s="2" t="s">
        <v>231</v>
      </c>
      <c r="E9">
        <v>2017</v>
      </c>
      <c r="F9" s="2" t="s">
        <v>6</v>
      </c>
      <c r="G9">
        <v>1</v>
      </c>
      <c r="H9" s="2" t="s">
        <v>7</v>
      </c>
      <c r="I9">
        <v>1</v>
      </c>
      <c r="J9" s="2" t="s">
        <v>16</v>
      </c>
      <c r="K9">
        <v>1</v>
      </c>
      <c r="L9" s="2" t="s">
        <v>24</v>
      </c>
      <c r="M9">
        <v>1</v>
      </c>
      <c r="N9" s="2" t="s">
        <v>39</v>
      </c>
      <c r="O9">
        <v>1</v>
      </c>
    </row>
    <row r="10" spans="1:15" x14ac:dyDescent="0.35">
      <c r="A10" s="2" t="s">
        <v>60</v>
      </c>
      <c r="B10" s="2" t="s">
        <v>56</v>
      </c>
      <c r="C10" s="2" t="s">
        <v>50</v>
      </c>
      <c r="D10" s="2" t="s">
        <v>231</v>
      </c>
      <c r="E10">
        <v>2020</v>
      </c>
      <c r="F10" s="2" t="s">
        <v>6</v>
      </c>
      <c r="G10">
        <v>1</v>
      </c>
      <c r="H10" s="2" t="s">
        <v>7</v>
      </c>
      <c r="I10">
        <v>1</v>
      </c>
      <c r="J10" s="2" t="s">
        <v>16</v>
      </c>
      <c r="K10">
        <v>1</v>
      </c>
      <c r="L10" s="2" t="s">
        <v>24</v>
      </c>
      <c r="M10">
        <v>1</v>
      </c>
      <c r="N10" s="2" t="s">
        <v>32</v>
      </c>
      <c r="O10">
        <v>1</v>
      </c>
    </row>
    <row r="11" spans="1:15" x14ac:dyDescent="0.35">
      <c r="A11" s="2" t="s">
        <v>60</v>
      </c>
      <c r="B11" s="2" t="s">
        <v>56</v>
      </c>
      <c r="C11" s="2" t="s">
        <v>50</v>
      </c>
      <c r="D11" s="2" t="s">
        <v>231</v>
      </c>
      <c r="E11">
        <v>2020</v>
      </c>
      <c r="F11" s="2" t="s">
        <v>6</v>
      </c>
      <c r="G11">
        <v>1</v>
      </c>
      <c r="H11" s="2" t="s">
        <v>7</v>
      </c>
      <c r="I11">
        <v>1</v>
      </c>
      <c r="J11" s="2" t="s">
        <v>16</v>
      </c>
      <c r="K11">
        <v>1</v>
      </c>
      <c r="L11" s="2" t="s">
        <v>24</v>
      </c>
      <c r="M11">
        <v>1</v>
      </c>
      <c r="N11" s="2" t="s">
        <v>35</v>
      </c>
      <c r="O11">
        <v>1</v>
      </c>
    </row>
    <row r="12" spans="1:15" x14ac:dyDescent="0.35">
      <c r="A12" s="2" t="s">
        <v>60</v>
      </c>
      <c r="B12" s="2" t="s">
        <v>56</v>
      </c>
      <c r="C12" s="2" t="s">
        <v>50</v>
      </c>
      <c r="D12" s="2" t="s">
        <v>231</v>
      </c>
      <c r="E12">
        <v>2020</v>
      </c>
      <c r="F12" s="2" t="s">
        <v>6</v>
      </c>
      <c r="G12">
        <v>1</v>
      </c>
      <c r="H12" s="2" t="s">
        <v>7</v>
      </c>
      <c r="I12">
        <v>1</v>
      </c>
      <c r="J12" s="2" t="s">
        <v>16</v>
      </c>
      <c r="K12">
        <v>1</v>
      </c>
      <c r="L12" s="2" t="s">
        <v>24</v>
      </c>
      <c r="M12">
        <v>1</v>
      </c>
      <c r="N12" s="2" t="s">
        <v>37</v>
      </c>
      <c r="O12">
        <v>1</v>
      </c>
    </row>
    <row r="13" spans="1:15" x14ac:dyDescent="0.35">
      <c r="A13" s="2" t="s">
        <v>60</v>
      </c>
      <c r="B13" s="2" t="s">
        <v>56</v>
      </c>
      <c r="C13" s="2" t="s">
        <v>50</v>
      </c>
      <c r="D13" s="2" t="s">
        <v>231</v>
      </c>
      <c r="E13">
        <v>2020</v>
      </c>
      <c r="F13" s="2" t="s">
        <v>6</v>
      </c>
      <c r="G13">
        <v>1</v>
      </c>
      <c r="H13" s="2" t="s">
        <v>7</v>
      </c>
      <c r="I13">
        <v>1</v>
      </c>
      <c r="J13" s="2" t="s">
        <v>16</v>
      </c>
      <c r="K13">
        <v>1</v>
      </c>
      <c r="L13" s="2" t="s">
        <v>24</v>
      </c>
      <c r="M13">
        <v>1</v>
      </c>
      <c r="N13" s="2" t="s">
        <v>38</v>
      </c>
      <c r="O13">
        <v>1</v>
      </c>
    </row>
    <row r="14" spans="1:15" x14ac:dyDescent="0.35">
      <c r="A14" s="2" t="s">
        <v>60</v>
      </c>
      <c r="B14" s="2" t="s">
        <v>56</v>
      </c>
      <c r="C14" s="2" t="s">
        <v>50</v>
      </c>
      <c r="D14" s="2" t="s">
        <v>231</v>
      </c>
      <c r="E14">
        <v>2020</v>
      </c>
      <c r="F14" s="2" t="s">
        <v>6</v>
      </c>
      <c r="G14">
        <v>1</v>
      </c>
      <c r="H14" s="2" t="s">
        <v>7</v>
      </c>
      <c r="I14">
        <v>1</v>
      </c>
      <c r="J14" s="2" t="s">
        <v>16</v>
      </c>
      <c r="K14">
        <v>1</v>
      </c>
      <c r="L14" s="2" t="s">
        <v>24</v>
      </c>
      <c r="M14">
        <v>1</v>
      </c>
      <c r="N14" s="2" t="s">
        <v>40</v>
      </c>
      <c r="O14">
        <v>1</v>
      </c>
    </row>
    <row r="15" spans="1:15" x14ac:dyDescent="0.35">
      <c r="A15" s="2" t="s">
        <v>60</v>
      </c>
      <c r="B15" s="2" t="s">
        <v>56</v>
      </c>
      <c r="C15" s="2" t="s">
        <v>50</v>
      </c>
      <c r="D15" s="2" t="s">
        <v>231</v>
      </c>
      <c r="E15">
        <v>2020</v>
      </c>
      <c r="F15" s="2" t="s">
        <v>6</v>
      </c>
      <c r="G15">
        <v>1</v>
      </c>
      <c r="H15" s="2" t="s">
        <v>7</v>
      </c>
      <c r="I15">
        <v>1</v>
      </c>
      <c r="J15" s="2" t="s">
        <v>16</v>
      </c>
      <c r="K15">
        <v>1</v>
      </c>
      <c r="L15" s="2" t="s">
        <v>24</v>
      </c>
      <c r="M15">
        <v>1</v>
      </c>
      <c r="N15" s="2" t="s">
        <v>46</v>
      </c>
      <c r="O15">
        <v>1</v>
      </c>
    </row>
    <row r="16" spans="1:15" x14ac:dyDescent="0.35">
      <c r="A16" s="2" t="s">
        <v>77</v>
      </c>
      <c r="B16" s="2" t="s">
        <v>56</v>
      </c>
      <c r="C16" s="2" t="s">
        <v>50</v>
      </c>
      <c r="D16" s="2" t="s">
        <v>231</v>
      </c>
      <c r="E16">
        <v>2021</v>
      </c>
      <c r="F16" s="2" t="s">
        <v>6</v>
      </c>
      <c r="G16">
        <v>1</v>
      </c>
      <c r="H16" s="2" t="s">
        <v>7</v>
      </c>
      <c r="I16">
        <v>1</v>
      </c>
      <c r="J16" s="2" t="s">
        <v>14</v>
      </c>
      <c r="K16">
        <v>1</v>
      </c>
      <c r="L16" s="2" t="s">
        <v>24</v>
      </c>
      <c r="M16">
        <v>1</v>
      </c>
      <c r="N16" s="2" t="s">
        <v>33</v>
      </c>
      <c r="O16">
        <v>1</v>
      </c>
    </row>
    <row r="17" spans="1:15" x14ac:dyDescent="0.35">
      <c r="A17" s="2" t="s">
        <v>77</v>
      </c>
      <c r="B17" s="2" t="s">
        <v>56</v>
      </c>
      <c r="C17" s="2" t="s">
        <v>50</v>
      </c>
      <c r="D17" s="2" t="s">
        <v>231</v>
      </c>
      <c r="E17">
        <v>2021</v>
      </c>
      <c r="F17" s="2" t="s">
        <v>6</v>
      </c>
      <c r="G17">
        <v>1</v>
      </c>
      <c r="H17" s="2" t="s">
        <v>7</v>
      </c>
      <c r="I17">
        <v>1</v>
      </c>
      <c r="J17" s="2" t="s">
        <v>14</v>
      </c>
      <c r="K17">
        <v>1</v>
      </c>
      <c r="L17" s="2" t="s">
        <v>24</v>
      </c>
      <c r="M17">
        <v>1</v>
      </c>
      <c r="N17" s="2" t="s">
        <v>37</v>
      </c>
      <c r="O17">
        <v>1</v>
      </c>
    </row>
    <row r="18" spans="1:15" x14ac:dyDescent="0.35">
      <c r="A18" s="2" t="s">
        <v>77</v>
      </c>
      <c r="B18" s="2" t="s">
        <v>56</v>
      </c>
      <c r="C18" s="2" t="s">
        <v>50</v>
      </c>
      <c r="D18" s="2" t="s">
        <v>231</v>
      </c>
      <c r="E18">
        <v>2021</v>
      </c>
      <c r="F18" s="2" t="s">
        <v>6</v>
      </c>
      <c r="G18">
        <v>1</v>
      </c>
      <c r="H18" s="2" t="s">
        <v>7</v>
      </c>
      <c r="I18">
        <v>1</v>
      </c>
      <c r="J18" s="2" t="s">
        <v>14</v>
      </c>
      <c r="K18">
        <v>1</v>
      </c>
      <c r="L18" s="2" t="s">
        <v>24</v>
      </c>
      <c r="M18">
        <v>1</v>
      </c>
      <c r="N18" s="2" t="s">
        <v>38</v>
      </c>
      <c r="O18">
        <v>1</v>
      </c>
    </row>
    <row r="19" spans="1:15" x14ac:dyDescent="0.35">
      <c r="A19" s="2" t="s">
        <v>77</v>
      </c>
      <c r="B19" s="2" t="s">
        <v>56</v>
      </c>
      <c r="C19" s="2" t="s">
        <v>50</v>
      </c>
      <c r="D19" s="2" t="s">
        <v>231</v>
      </c>
      <c r="E19">
        <v>2021</v>
      </c>
      <c r="F19" s="2" t="s">
        <v>6</v>
      </c>
      <c r="G19">
        <v>1</v>
      </c>
      <c r="H19" s="2" t="s">
        <v>7</v>
      </c>
      <c r="I19">
        <v>1</v>
      </c>
      <c r="J19" s="2" t="s">
        <v>14</v>
      </c>
      <c r="K19">
        <v>1</v>
      </c>
      <c r="L19" s="2" t="s">
        <v>24</v>
      </c>
      <c r="M19">
        <v>1</v>
      </c>
      <c r="N19" s="2" t="s">
        <v>46</v>
      </c>
      <c r="O19">
        <v>1</v>
      </c>
    </row>
    <row r="20" spans="1:15" x14ac:dyDescent="0.35">
      <c r="A20" s="2" t="s">
        <v>77</v>
      </c>
      <c r="B20" s="2" t="s">
        <v>56</v>
      </c>
      <c r="C20" s="2" t="s">
        <v>50</v>
      </c>
      <c r="D20" s="2" t="s">
        <v>231</v>
      </c>
      <c r="E20">
        <v>2021</v>
      </c>
      <c r="F20" s="2" t="s">
        <v>6</v>
      </c>
      <c r="G20">
        <v>1</v>
      </c>
      <c r="H20" s="2" t="s">
        <v>7</v>
      </c>
      <c r="I20">
        <v>1</v>
      </c>
      <c r="J20" s="2" t="s">
        <v>15</v>
      </c>
      <c r="K20">
        <v>1</v>
      </c>
      <c r="L20" s="2" t="s">
        <v>24</v>
      </c>
      <c r="M20">
        <v>1</v>
      </c>
      <c r="N20" s="2" t="s">
        <v>33</v>
      </c>
      <c r="O20">
        <v>1</v>
      </c>
    </row>
    <row r="21" spans="1:15" x14ac:dyDescent="0.35">
      <c r="A21" s="2" t="s">
        <v>77</v>
      </c>
      <c r="B21" s="2" t="s">
        <v>56</v>
      </c>
      <c r="C21" s="2" t="s">
        <v>50</v>
      </c>
      <c r="D21" s="2" t="s">
        <v>231</v>
      </c>
      <c r="E21">
        <v>2021</v>
      </c>
      <c r="F21" s="2" t="s">
        <v>6</v>
      </c>
      <c r="G21">
        <v>1</v>
      </c>
      <c r="H21" s="2" t="s">
        <v>7</v>
      </c>
      <c r="I21">
        <v>1</v>
      </c>
      <c r="J21" s="2" t="s">
        <v>15</v>
      </c>
      <c r="K21">
        <v>1</v>
      </c>
      <c r="L21" s="2" t="s">
        <v>24</v>
      </c>
      <c r="M21">
        <v>1</v>
      </c>
      <c r="N21" s="2" t="s">
        <v>37</v>
      </c>
      <c r="O21">
        <v>1</v>
      </c>
    </row>
    <row r="22" spans="1:15" x14ac:dyDescent="0.35">
      <c r="A22" s="2" t="s">
        <v>77</v>
      </c>
      <c r="B22" s="2" t="s">
        <v>56</v>
      </c>
      <c r="C22" s="2" t="s">
        <v>50</v>
      </c>
      <c r="D22" s="2" t="s">
        <v>231</v>
      </c>
      <c r="E22">
        <v>2021</v>
      </c>
      <c r="F22" s="2" t="s">
        <v>6</v>
      </c>
      <c r="G22">
        <v>1</v>
      </c>
      <c r="H22" s="2" t="s">
        <v>7</v>
      </c>
      <c r="I22">
        <v>1</v>
      </c>
      <c r="J22" s="2" t="s">
        <v>15</v>
      </c>
      <c r="K22">
        <v>1</v>
      </c>
      <c r="L22" s="2" t="s">
        <v>24</v>
      </c>
      <c r="M22">
        <v>1</v>
      </c>
      <c r="N22" s="2" t="s">
        <v>38</v>
      </c>
      <c r="O22">
        <v>1</v>
      </c>
    </row>
    <row r="23" spans="1:15" x14ac:dyDescent="0.35">
      <c r="A23" s="2" t="s">
        <v>77</v>
      </c>
      <c r="B23" s="2" t="s">
        <v>56</v>
      </c>
      <c r="C23" s="2" t="s">
        <v>50</v>
      </c>
      <c r="D23" s="2" t="s">
        <v>231</v>
      </c>
      <c r="E23">
        <v>2021</v>
      </c>
      <c r="F23" s="2" t="s">
        <v>6</v>
      </c>
      <c r="G23">
        <v>1</v>
      </c>
      <c r="H23" s="2" t="s">
        <v>7</v>
      </c>
      <c r="I23">
        <v>1</v>
      </c>
      <c r="J23" s="2" t="s">
        <v>15</v>
      </c>
      <c r="K23">
        <v>1</v>
      </c>
      <c r="L23" s="2" t="s">
        <v>24</v>
      </c>
      <c r="M23">
        <v>1</v>
      </c>
      <c r="N23" s="2" t="s">
        <v>46</v>
      </c>
      <c r="O23">
        <v>1</v>
      </c>
    </row>
    <row r="24" spans="1:15" x14ac:dyDescent="0.35">
      <c r="A24" s="2" t="s">
        <v>77</v>
      </c>
      <c r="B24" s="2" t="s">
        <v>56</v>
      </c>
      <c r="C24" s="2" t="s">
        <v>50</v>
      </c>
      <c r="D24" s="2" t="s">
        <v>231</v>
      </c>
      <c r="E24">
        <v>2021</v>
      </c>
      <c r="F24" s="2" t="s">
        <v>6</v>
      </c>
      <c r="G24">
        <v>1</v>
      </c>
      <c r="H24" s="2" t="s">
        <v>7</v>
      </c>
      <c r="I24">
        <v>1</v>
      </c>
      <c r="J24" s="2" t="s">
        <v>16</v>
      </c>
      <c r="K24">
        <v>1</v>
      </c>
      <c r="L24" s="2" t="s">
        <v>24</v>
      </c>
      <c r="M24">
        <v>1</v>
      </c>
      <c r="N24" s="2" t="s">
        <v>33</v>
      </c>
      <c r="O24">
        <v>1</v>
      </c>
    </row>
    <row r="25" spans="1:15" x14ac:dyDescent="0.35">
      <c r="A25" s="2" t="s">
        <v>77</v>
      </c>
      <c r="B25" s="2" t="s">
        <v>56</v>
      </c>
      <c r="C25" s="2" t="s">
        <v>50</v>
      </c>
      <c r="D25" s="2" t="s">
        <v>231</v>
      </c>
      <c r="E25">
        <v>2021</v>
      </c>
      <c r="F25" s="2" t="s">
        <v>6</v>
      </c>
      <c r="G25">
        <v>1</v>
      </c>
      <c r="H25" s="2" t="s">
        <v>7</v>
      </c>
      <c r="I25">
        <v>1</v>
      </c>
      <c r="J25" s="2" t="s">
        <v>16</v>
      </c>
      <c r="K25">
        <v>1</v>
      </c>
      <c r="L25" s="2" t="s">
        <v>24</v>
      </c>
      <c r="M25">
        <v>1</v>
      </c>
      <c r="N25" s="2" t="s">
        <v>37</v>
      </c>
      <c r="O25">
        <v>1</v>
      </c>
    </row>
    <row r="26" spans="1:15" x14ac:dyDescent="0.35">
      <c r="A26" s="2" t="s">
        <v>77</v>
      </c>
      <c r="B26" s="2" t="s">
        <v>56</v>
      </c>
      <c r="C26" s="2" t="s">
        <v>50</v>
      </c>
      <c r="D26" s="2" t="s">
        <v>231</v>
      </c>
      <c r="E26">
        <v>2021</v>
      </c>
      <c r="F26" s="2" t="s">
        <v>6</v>
      </c>
      <c r="G26">
        <v>1</v>
      </c>
      <c r="H26" s="2" t="s">
        <v>7</v>
      </c>
      <c r="I26">
        <v>1</v>
      </c>
      <c r="J26" s="2" t="s">
        <v>16</v>
      </c>
      <c r="K26">
        <v>1</v>
      </c>
      <c r="L26" s="2" t="s">
        <v>24</v>
      </c>
      <c r="M26">
        <v>1</v>
      </c>
      <c r="N26" s="2" t="s">
        <v>38</v>
      </c>
      <c r="O26">
        <v>1</v>
      </c>
    </row>
    <row r="27" spans="1:15" x14ac:dyDescent="0.35">
      <c r="A27" s="2" t="s">
        <v>77</v>
      </c>
      <c r="B27" s="2" t="s">
        <v>56</v>
      </c>
      <c r="C27" s="2" t="s">
        <v>50</v>
      </c>
      <c r="D27" s="2" t="s">
        <v>231</v>
      </c>
      <c r="E27">
        <v>2021</v>
      </c>
      <c r="F27" s="2" t="s">
        <v>6</v>
      </c>
      <c r="G27">
        <v>1</v>
      </c>
      <c r="H27" s="2" t="s">
        <v>7</v>
      </c>
      <c r="I27">
        <v>1</v>
      </c>
      <c r="J27" s="2" t="s">
        <v>16</v>
      </c>
      <c r="K27">
        <v>1</v>
      </c>
      <c r="L27" s="2" t="s">
        <v>24</v>
      </c>
      <c r="M27">
        <v>1</v>
      </c>
      <c r="N27" s="2" t="s">
        <v>46</v>
      </c>
      <c r="O27">
        <v>1</v>
      </c>
    </row>
    <row r="28" spans="1:15" x14ac:dyDescent="0.35">
      <c r="A28" s="2" t="s">
        <v>82</v>
      </c>
      <c r="B28" s="2" t="s">
        <v>56</v>
      </c>
      <c r="C28" s="2" t="s">
        <v>50</v>
      </c>
      <c r="D28" s="2" t="s">
        <v>231</v>
      </c>
      <c r="E28">
        <v>2020</v>
      </c>
      <c r="F28" s="2" t="s">
        <v>6</v>
      </c>
      <c r="G28">
        <v>1</v>
      </c>
      <c r="H28" s="2" t="s">
        <v>7</v>
      </c>
      <c r="I28">
        <v>1</v>
      </c>
      <c r="J28" s="2" t="s">
        <v>16</v>
      </c>
      <c r="K28">
        <v>1</v>
      </c>
      <c r="L28" s="2" t="s">
        <v>24</v>
      </c>
      <c r="M28">
        <v>1</v>
      </c>
      <c r="N28" s="2" t="s">
        <v>37</v>
      </c>
      <c r="O28">
        <v>1</v>
      </c>
    </row>
    <row r="29" spans="1:15" x14ac:dyDescent="0.35">
      <c r="A29" s="2" t="s">
        <v>82</v>
      </c>
      <c r="B29" s="2" t="s">
        <v>56</v>
      </c>
      <c r="C29" s="2" t="s">
        <v>50</v>
      </c>
      <c r="D29" s="2" t="s">
        <v>231</v>
      </c>
      <c r="E29">
        <v>2020</v>
      </c>
      <c r="F29" s="2" t="s">
        <v>6</v>
      </c>
      <c r="G29">
        <v>1</v>
      </c>
      <c r="H29" s="2" t="s">
        <v>7</v>
      </c>
      <c r="I29">
        <v>1</v>
      </c>
      <c r="J29" s="2" t="s">
        <v>16</v>
      </c>
      <c r="K29">
        <v>1</v>
      </c>
      <c r="L29" s="2" t="s">
        <v>24</v>
      </c>
      <c r="M29">
        <v>1</v>
      </c>
      <c r="N29" s="2" t="s">
        <v>38</v>
      </c>
      <c r="O29">
        <v>1</v>
      </c>
    </row>
    <row r="30" spans="1:15" x14ac:dyDescent="0.35">
      <c r="A30" s="2" t="s">
        <v>82</v>
      </c>
      <c r="B30" s="2" t="s">
        <v>56</v>
      </c>
      <c r="C30" s="2" t="s">
        <v>50</v>
      </c>
      <c r="D30" s="2" t="s">
        <v>231</v>
      </c>
      <c r="E30">
        <v>2020</v>
      </c>
      <c r="F30" s="2" t="s">
        <v>6</v>
      </c>
      <c r="G30">
        <v>1</v>
      </c>
      <c r="H30" s="2" t="s">
        <v>7</v>
      </c>
      <c r="I30">
        <v>1</v>
      </c>
      <c r="J30" s="2" t="s">
        <v>16</v>
      </c>
      <c r="K30">
        <v>1</v>
      </c>
      <c r="L30" s="2" t="s">
        <v>24</v>
      </c>
      <c r="M30">
        <v>1</v>
      </c>
      <c r="N30" s="2" t="s">
        <v>40</v>
      </c>
      <c r="O30">
        <v>1</v>
      </c>
    </row>
    <row r="31" spans="1:15" x14ac:dyDescent="0.35">
      <c r="A31" s="2" t="s">
        <v>85</v>
      </c>
      <c r="B31" s="2" t="s">
        <v>56</v>
      </c>
      <c r="C31" s="2" t="s">
        <v>50</v>
      </c>
      <c r="D31" s="2" t="s">
        <v>231</v>
      </c>
      <c r="E31">
        <v>2015</v>
      </c>
      <c r="F31" s="2" t="s">
        <v>6</v>
      </c>
      <c r="G31">
        <v>1</v>
      </c>
      <c r="H31" s="2" t="s">
        <v>7</v>
      </c>
      <c r="I31">
        <v>1</v>
      </c>
      <c r="J31" s="2" t="s">
        <v>15</v>
      </c>
      <c r="K31">
        <v>1</v>
      </c>
      <c r="L31" s="2" t="s">
        <v>24</v>
      </c>
      <c r="M31">
        <v>1</v>
      </c>
      <c r="N31" s="2" t="s">
        <v>37</v>
      </c>
      <c r="O31">
        <v>1</v>
      </c>
    </row>
    <row r="32" spans="1:15" x14ac:dyDescent="0.35">
      <c r="A32" s="2" t="s">
        <v>85</v>
      </c>
      <c r="B32" s="2" t="s">
        <v>56</v>
      </c>
      <c r="C32" s="2" t="s">
        <v>50</v>
      </c>
      <c r="D32" s="2" t="s">
        <v>231</v>
      </c>
      <c r="E32">
        <v>2015</v>
      </c>
      <c r="F32" s="2" t="s">
        <v>6</v>
      </c>
      <c r="G32">
        <v>1</v>
      </c>
      <c r="H32" s="2" t="s">
        <v>7</v>
      </c>
      <c r="I32">
        <v>1</v>
      </c>
      <c r="J32" s="2" t="s">
        <v>15</v>
      </c>
      <c r="K32">
        <v>1</v>
      </c>
      <c r="L32" s="2" t="s">
        <v>24</v>
      </c>
      <c r="M32">
        <v>1</v>
      </c>
      <c r="N32" s="2" t="s">
        <v>38</v>
      </c>
      <c r="O32">
        <v>1</v>
      </c>
    </row>
    <row r="33" spans="1:15" x14ac:dyDescent="0.35">
      <c r="A33" s="2" t="s">
        <v>85</v>
      </c>
      <c r="B33" s="2" t="s">
        <v>56</v>
      </c>
      <c r="C33" s="2" t="s">
        <v>50</v>
      </c>
      <c r="D33" s="2" t="s">
        <v>231</v>
      </c>
      <c r="E33">
        <v>2015</v>
      </c>
      <c r="F33" s="2" t="s">
        <v>6</v>
      </c>
      <c r="G33">
        <v>1</v>
      </c>
      <c r="H33" s="2" t="s">
        <v>7</v>
      </c>
      <c r="I33">
        <v>1</v>
      </c>
      <c r="J33" s="2" t="s">
        <v>15</v>
      </c>
      <c r="K33">
        <v>1</v>
      </c>
      <c r="L33" s="2" t="s">
        <v>24</v>
      </c>
      <c r="M33">
        <v>1</v>
      </c>
      <c r="N33" s="2" t="s">
        <v>39</v>
      </c>
      <c r="O33">
        <v>1</v>
      </c>
    </row>
    <row r="34" spans="1:15" x14ac:dyDescent="0.35">
      <c r="A34" s="2" t="s">
        <v>85</v>
      </c>
      <c r="B34" s="2" t="s">
        <v>56</v>
      </c>
      <c r="C34" s="2" t="s">
        <v>50</v>
      </c>
      <c r="D34" s="2" t="s">
        <v>231</v>
      </c>
      <c r="E34">
        <v>2015</v>
      </c>
      <c r="F34" s="2" t="s">
        <v>6</v>
      </c>
      <c r="G34">
        <v>1</v>
      </c>
      <c r="H34" s="2" t="s">
        <v>7</v>
      </c>
      <c r="I34">
        <v>1</v>
      </c>
      <c r="J34" s="2" t="s">
        <v>15</v>
      </c>
      <c r="K34">
        <v>1</v>
      </c>
      <c r="L34" s="2" t="s">
        <v>24</v>
      </c>
      <c r="M34">
        <v>1</v>
      </c>
      <c r="N34" s="2" t="s">
        <v>40</v>
      </c>
      <c r="O34">
        <v>1</v>
      </c>
    </row>
    <row r="35" spans="1:15" x14ac:dyDescent="0.35">
      <c r="A35" s="2" t="s">
        <v>85</v>
      </c>
      <c r="B35" s="2" t="s">
        <v>56</v>
      </c>
      <c r="C35" s="2" t="s">
        <v>50</v>
      </c>
      <c r="D35" s="2" t="s">
        <v>231</v>
      </c>
      <c r="E35">
        <v>2015</v>
      </c>
      <c r="F35" s="2" t="s">
        <v>6</v>
      </c>
      <c r="G35">
        <v>1</v>
      </c>
      <c r="H35" s="2" t="s">
        <v>7</v>
      </c>
      <c r="I35">
        <v>1</v>
      </c>
      <c r="J35" s="2" t="s">
        <v>15</v>
      </c>
      <c r="K35">
        <v>1</v>
      </c>
      <c r="L35" s="2" t="s">
        <v>24</v>
      </c>
      <c r="M35">
        <v>1</v>
      </c>
      <c r="N35" s="2" t="s">
        <v>41</v>
      </c>
      <c r="O35">
        <v>1</v>
      </c>
    </row>
    <row r="36" spans="1:15" x14ac:dyDescent="0.35">
      <c r="A36" s="2" t="s">
        <v>85</v>
      </c>
      <c r="B36" s="2" t="s">
        <v>56</v>
      </c>
      <c r="C36" s="2" t="s">
        <v>50</v>
      </c>
      <c r="D36" s="2" t="s">
        <v>231</v>
      </c>
      <c r="E36">
        <v>2015</v>
      </c>
      <c r="F36" s="2" t="s">
        <v>6</v>
      </c>
      <c r="G36">
        <v>1</v>
      </c>
      <c r="H36" s="2" t="s">
        <v>7</v>
      </c>
      <c r="I36">
        <v>1</v>
      </c>
      <c r="J36" s="2" t="s">
        <v>15</v>
      </c>
      <c r="K36">
        <v>1</v>
      </c>
      <c r="L36" s="2" t="s">
        <v>24</v>
      </c>
      <c r="M36">
        <v>1</v>
      </c>
      <c r="N36" s="2" t="s">
        <v>44</v>
      </c>
      <c r="O36">
        <v>1</v>
      </c>
    </row>
    <row r="37" spans="1:15" x14ac:dyDescent="0.35">
      <c r="A37" s="2" t="s">
        <v>85</v>
      </c>
      <c r="B37" s="2" t="s">
        <v>56</v>
      </c>
      <c r="C37" s="2" t="s">
        <v>50</v>
      </c>
      <c r="D37" s="2" t="s">
        <v>231</v>
      </c>
      <c r="E37">
        <v>2015</v>
      </c>
      <c r="F37" s="2" t="s">
        <v>6</v>
      </c>
      <c r="G37">
        <v>1</v>
      </c>
      <c r="H37" s="2" t="s">
        <v>7</v>
      </c>
      <c r="I37">
        <v>1</v>
      </c>
      <c r="J37" s="2" t="s">
        <v>16</v>
      </c>
      <c r="K37">
        <v>1</v>
      </c>
      <c r="L37" s="2" t="s">
        <v>24</v>
      </c>
      <c r="M37">
        <v>1</v>
      </c>
      <c r="N37" s="2" t="s">
        <v>37</v>
      </c>
      <c r="O37">
        <v>1</v>
      </c>
    </row>
    <row r="38" spans="1:15" x14ac:dyDescent="0.35">
      <c r="A38" s="2" t="s">
        <v>85</v>
      </c>
      <c r="B38" s="2" t="s">
        <v>56</v>
      </c>
      <c r="C38" s="2" t="s">
        <v>50</v>
      </c>
      <c r="D38" s="2" t="s">
        <v>231</v>
      </c>
      <c r="E38">
        <v>2015</v>
      </c>
      <c r="F38" s="2" t="s">
        <v>6</v>
      </c>
      <c r="G38">
        <v>1</v>
      </c>
      <c r="H38" s="2" t="s">
        <v>7</v>
      </c>
      <c r="I38">
        <v>1</v>
      </c>
      <c r="J38" s="2" t="s">
        <v>16</v>
      </c>
      <c r="K38">
        <v>1</v>
      </c>
      <c r="L38" s="2" t="s">
        <v>24</v>
      </c>
      <c r="M38">
        <v>1</v>
      </c>
      <c r="N38" s="2" t="s">
        <v>38</v>
      </c>
      <c r="O38">
        <v>1</v>
      </c>
    </row>
    <row r="39" spans="1:15" x14ac:dyDescent="0.35">
      <c r="A39" s="2" t="s">
        <v>85</v>
      </c>
      <c r="B39" s="2" t="s">
        <v>56</v>
      </c>
      <c r="C39" s="2" t="s">
        <v>50</v>
      </c>
      <c r="D39" s="2" t="s">
        <v>231</v>
      </c>
      <c r="E39">
        <v>2015</v>
      </c>
      <c r="F39" s="2" t="s">
        <v>6</v>
      </c>
      <c r="G39">
        <v>1</v>
      </c>
      <c r="H39" s="2" t="s">
        <v>7</v>
      </c>
      <c r="I39">
        <v>1</v>
      </c>
      <c r="J39" s="2" t="s">
        <v>16</v>
      </c>
      <c r="K39">
        <v>1</v>
      </c>
      <c r="L39" s="2" t="s">
        <v>24</v>
      </c>
      <c r="M39">
        <v>1</v>
      </c>
      <c r="N39" s="2" t="s">
        <v>39</v>
      </c>
      <c r="O39">
        <v>1</v>
      </c>
    </row>
    <row r="40" spans="1:15" x14ac:dyDescent="0.35">
      <c r="A40" s="2" t="s">
        <v>85</v>
      </c>
      <c r="B40" s="2" t="s">
        <v>56</v>
      </c>
      <c r="C40" s="2" t="s">
        <v>50</v>
      </c>
      <c r="D40" s="2" t="s">
        <v>231</v>
      </c>
      <c r="E40">
        <v>2015</v>
      </c>
      <c r="F40" s="2" t="s">
        <v>6</v>
      </c>
      <c r="G40">
        <v>1</v>
      </c>
      <c r="H40" s="2" t="s">
        <v>7</v>
      </c>
      <c r="I40">
        <v>1</v>
      </c>
      <c r="J40" s="2" t="s">
        <v>16</v>
      </c>
      <c r="K40">
        <v>1</v>
      </c>
      <c r="L40" s="2" t="s">
        <v>24</v>
      </c>
      <c r="M40">
        <v>1</v>
      </c>
      <c r="N40" s="2" t="s">
        <v>40</v>
      </c>
      <c r="O40">
        <v>1</v>
      </c>
    </row>
    <row r="41" spans="1:15" x14ac:dyDescent="0.35">
      <c r="A41" s="2" t="s">
        <v>85</v>
      </c>
      <c r="B41" s="2" t="s">
        <v>56</v>
      </c>
      <c r="C41" s="2" t="s">
        <v>50</v>
      </c>
      <c r="D41" s="2" t="s">
        <v>231</v>
      </c>
      <c r="E41">
        <v>2015</v>
      </c>
      <c r="F41" s="2" t="s">
        <v>6</v>
      </c>
      <c r="G41">
        <v>1</v>
      </c>
      <c r="H41" s="2" t="s">
        <v>7</v>
      </c>
      <c r="I41">
        <v>1</v>
      </c>
      <c r="J41" s="2" t="s">
        <v>16</v>
      </c>
      <c r="K41">
        <v>1</v>
      </c>
      <c r="L41" s="2" t="s">
        <v>24</v>
      </c>
      <c r="M41">
        <v>1</v>
      </c>
      <c r="N41" s="2" t="s">
        <v>41</v>
      </c>
      <c r="O41">
        <v>1</v>
      </c>
    </row>
    <row r="42" spans="1:15" x14ac:dyDescent="0.35">
      <c r="A42" s="2" t="s">
        <v>85</v>
      </c>
      <c r="B42" s="2" t="s">
        <v>56</v>
      </c>
      <c r="C42" s="2" t="s">
        <v>50</v>
      </c>
      <c r="D42" s="2" t="s">
        <v>231</v>
      </c>
      <c r="E42">
        <v>2015</v>
      </c>
      <c r="F42" s="2" t="s">
        <v>6</v>
      </c>
      <c r="G42">
        <v>1</v>
      </c>
      <c r="H42" s="2" t="s">
        <v>7</v>
      </c>
      <c r="I42">
        <v>1</v>
      </c>
      <c r="J42" s="2" t="s">
        <v>16</v>
      </c>
      <c r="K42">
        <v>1</v>
      </c>
      <c r="L42" s="2" t="s">
        <v>24</v>
      </c>
      <c r="M42">
        <v>1</v>
      </c>
      <c r="N42" s="2" t="s">
        <v>44</v>
      </c>
      <c r="O42">
        <v>1</v>
      </c>
    </row>
    <row r="43" spans="1:15" x14ac:dyDescent="0.35">
      <c r="A43" s="2" t="s">
        <v>87</v>
      </c>
      <c r="B43" s="2" t="s">
        <v>56</v>
      </c>
      <c r="C43" s="2" t="s">
        <v>50</v>
      </c>
      <c r="D43" s="2" t="s">
        <v>231</v>
      </c>
      <c r="E43">
        <v>2019</v>
      </c>
      <c r="F43" s="2" t="s">
        <v>6</v>
      </c>
      <c r="G43">
        <v>1</v>
      </c>
      <c r="H43" s="2" t="s">
        <v>7</v>
      </c>
      <c r="I43">
        <v>1</v>
      </c>
      <c r="J43" s="2" t="s">
        <v>16</v>
      </c>
      <c r="K43">
        <v>1</v>
      </c>
      <c r="L43" s="2" t="s">
        <v>24</v>
      </c>
      <c r="M43">
        <v>1</v>
      </c>
      <c r="N43" s="2" t="s">
        <v>37</v>
      </c>
      <c r="O43">
        <v>1</v>
      </c>
    </row>
    <row r="44" spans="1:15" x14ac:dyDescent="0.35">
      <c r="A44" s="2" t="s">
        <v>87</v>
      </c>
      <c r="B44" s="2" t="s">
        <v>56</v>
      </c>
      <c r="C44" s="2" t="s">
        <v>50</v>
      </c>
      <c r="D44" s="2" t="s">
        <v>231</v>
      </c>
      <c r="E44">
        <v>2019</v>
      </c>
      <c r="F44" s="2" t="s">
        <v>6</v>
      </c>
      <c r="G44">
        <v>1</v>
      </c>
      <c r="H44" s="2" t="s">
        <v>7</v>
      </c>
      <c r="I44">
        <v>1</v>
      </c>
      <c r="J44" s="2" t="s">
        <v>16</v>
      </c>
      <c r="K44">
        <v>1</v>
      </c>
      <c r="L44" s="2" t="s">
        <v>24</v>
      </c>
      <c r="M44">
        <v>1</v>
      </c>
      <c r="N44" s="2" t="s">
        <v>38</v>
      </c>
      <c r="O44">
        <v>1</v>
      </c>
    </row>
    <row r="45" spans="1:15" x14ac:dyDescent="0.35">
      <c r="A45" s="2" t="s">
        <v>87</v>
      </c>
      <c r="B45" s="2" t="s">
        <v>56</v>
      </c>
      <c r="C45" s="2" t="s">
        <v>50</v>
      </c>
      <c r="D45" s="2" t="s">
        <v>231</v>
      </c>
      <c r="E45">
        <v>2019</v>
      </c>
      <c r="F45" s="2" t="s">
        <v>6</v>
      </c>
      <c r="G45">
        <v>1</v>
      </c>
      <c r="H45" s="2" t="s">
        <v>7</v>
      </c>
      <c r="I45">
        <v>1</v>
      </c>
      <c r="J45" s="2" t="s">
        <v>16</v>
      </c>
      <c r="K45">
        <v>1</v>
      </c>
      <c r="L45" s="2" t="s">
        <v>24</v>
      </c>
      <c r="M45">
        <v>1</v>
      </c>
      <c r="N45" s="2" t="s">
        <v>40</v>
      </c>
      <c r="O45">
        <v>1</v>
      </c>
    </row>
    <row r="46" spans="1:15" x14ac:dyDescent="0.35">
      <c r="A46" s="2" t="s">
        <v>87</v>
      </c>
      <c r="B46" s="2" t="s">
        <v>56</v>
      </c>
      <c r="C46" s="2" t="s">
        <v>50</v>
      </c>
      <c r="D46" s="2" t="s">
        <v>231</v>
      </c>
      <c r="E46">
        <v>2019</v>
      </c>
      <c r="F46" s="2" t="s">
        <v>6</v>
      </c>
      <c r="G46">
        <v>1</v>
      </c>
      <c r="H46" s="2" t="s">
        <v>7</v>
      </c>
      <c r="I46">
        <v>1</v>
      </c>
      <c r="J46" s="2" t="s">
        <v>16</v>
      </c>
      <c r="K46">
        <v>1</v>
      </c>
      <c r="L46" s="2" t="s">
        <v>24</v>
      </c>
      <c r="M46">
        <v>1</v>
      </c>
      <c r="N46" s="2" t="s">
        <v>46</v>
      </c>
      <c r="O46">
        <v>1</v>
      </c>
    </row>
    <row r="47" spans="1:15" x14ac:dyDescent="0.35">
      <c r="A47" s="2" t="s">
        <v>106</v>
      </c>
      <c r="B47" s="2" t="s">
        <v>56</v>
      </c>
      <c r="C47" s="2" t="s">
        <v>50</v>
      </c>
      <c r="D47" s="2" t="s">
        <v>231</v>
      </c>
      <c r="E47">
        <v>2017</v>
      </c>
      <c r="F47" s="2" t="s">
        <v>6</v>
      </c>
      <c r="G47">
        <v>1</v>
      </c>
      <c r="H47" s="2" t="s">
        <v>7</v>
      </c>
      <c r="I47">
        <v>1</v>
      </c>
      <c r="J47" s="2" t="s">
        <v>15</v>
      </c>
      <c r="K47">
        <v>1</v>
      </c>
      <c r="L47" s="2" t="s">
        <v>24</v>
      </c>
      <c r="M47">
        <v>1</v>
      </c>
      <c r="N47" s="2" t="s">
        <v>37</v>
      </c>
      <c r="O47">
        <v>1</v>
      </c>
    </row>
    <row r="48" spans="1:15" x14ac:dyDescent="0.35">
      <c r="A48" s="2" t="s">
        <v>106</v>
      </c>
      <c r="B48" s="2" t="s">
        <v>56</v>
      </c>
      <c r="C48" s="2" t="s">
        <v>50</v>
      </c>
      <c r="D48" s="2" t="s">
        <v>231</v>
      </c>
      <c r="E48">
        <v>2017</v>
      </c>
      <c r="F48" s="2" t="s">
        <v>6</v>
      </c>
      <c r="G48">
        <v>1</v>
      </c>
      <c r="H48" s="2" t="s">
        <v>7</v>
      </c>
      <c r="I48">
        <v>1</v>
      </c>
      <c r="J48" s="2" t="s">
        <v>15</v>
      </c>
      <c r="K48">
        <v>1</v>
      </c>
      <c r="L48" s="2" t="s">
        <v>24</v>
      </c>
      <c r="M48">
        <v>1</v>
      </c>
      <c r="N48" s="2" t="s">
        <v>38</v>
      </c>
      <c r="O48">
        <v>1</v>
      </c>
    </row>
    <row r="49" spans="1:15" x14ac:dyDescent="0.35">
      <c r="A49" s="2" t="s">
        <v>106</v>
      </c>
      <c r="B49" s="2" t="s">
        <v>56</v>
      </c>
      <c r="C49" s="2" t="s">
        <v>50</v>
      </c>
      <c r="D49" s="2" t="s">
        <v>231</v>
      </c>
      <c r="E49">
        <v>2017</v>
      </c>
      <c r="F49" s="2" t="s">
        <v>6</v>
      </c>
      <c r="G49">
        <v>1</v>
      </c>
      <c r="H49" s="2" t="s">
        <v>7</v>
      </c>
      <c r="I49">
        <v>1</v>
      </c>
      <c r="J49" s="2" t="s">
        <v>15</v>
      </c>
      <c r="K49">
        <v>1</v>
      </c>
      <c r="L49" s="2" t="s">
        <v>24</v>
      </c>
      <c r="M49">
        <v>1</v>
      </c>
      <c r="N49" s="2" t="s">
        <v>39</v>
      </c>
      <c r="O49">
        <v>1</v>
      </c>
    </row>
    <row r="50" spans="1:15" x14ac:dyDescent="0.35">
      <c r="A50" s="2" t="s">
        <v>106</v>
      </c>
      <c r="B50" s="2" t="s">
        <v>56</v>
      </c>
      <c r="C50" s="2" t="s">
        <v>50</v>
      </c>
      <c r="D50" s="2" t="s">
        <v>231</v>
      </c>
      <c r="E50">
        <v>2017</v>
      </c>
      <c r="F50" s="2" t="s">
        <v>6</v>
      </c>
      <c r="G50">
        <v>1</v>
      </c>
      <c r="H50" s="2" t="s">
        <v>7</v>
      </c>
      <c r="I50">
        <v>1</v>
      </c>
      <c r="J50" s="2" t="s">
        <v>15</v>
      </c>
      <c r="K50">
        <v>1</v>
      </c>
      <c r="L50" s="2" t="s">
        <v>24</v>
      </c>
      <c r="M50">
        <v>1</v>
      </c>
      <c r="N50" s="2" t="s">
        <v>41</v>
      </c>
      <c r="O50">
        <v>1</v>
      </c>
    </row>
    <row r="51" spans="1:15" x14ac:dyDescent="0.35">
      <c r="A51" s="2" t="s">
        <v>106</v>
      </c>
      <c r="B51" s="2" t="s">
        <v>56</v>
      </c>
      <c r="C51" s="2" t="s">
        <v>50</v>
      </c>
      <c r="D51" s="2" t="s">
        <v>231</v>
      </c>
      <c r="E51">
        <v>2017</v>
      </c>
      <c r="F51" s="2" t="s">
        <v>6</v>
      </c>
      <c r="G51">
        <v>1</v>
      </c>
      <c r="H51" s="2" t="s">
        <v>7</v>
      </c>
      <c r="I51">
        <v>1</v>
      </c>
      <c r="J51" s="2" t="s">
        <v>16</v>
      </c>
      <c r="K51">
        <v>1</v>
      </c>
      <c r="L51" s="2" t="s">
        <v>24</v>
      </c>
      <c r="M51">
        <v>1</v>
      </c>
      <c r="N51" s="2" t="s">
        <v>37</v>
      </c>
      <c r="O51">
        <v>1</v>
      </c>
    </row>
    <row r="52" spans="1:15" x14ac:dyDescent="0.35">
      <c r="A52" s="2" t="s">
        <v>106</v>
      </c>
      <c r="B52" s="2" t="s">
        <v>56</v>
      </c>
      <c r="C52" s="2" t="s">
        <v>50</v>
      </c>
      <c r="D52" s="2" t="s">
        <v>231</v>
      </c>
      <c r="E52">
        <v>2017</v>
      </c>
      <c r="F52" s="2" t="s">
        <v>6</v>
      </c>
      <c r="G52">
        <v>1</v>
      </c>
      <c r="H52" s="2" t="s">
        <v>7</v>
      </c>
      <c r="I52">
        <v>1</v>
      </c>
      <c r="J52" s="2" t="s">
        <v>16</v>
      </c>
      <c r="K52">
        <v>1</v>
      </c>
      <c r="L52" s="2" t="s">
        <v>24</v>
      </c>
      <c r="M52">
        <v>1</v>
      </c>
      <c r="N52" s="2" t="s">
        <v>38</v>
      </c>
      <c r="O52">
        <v>1</v>
      </c>
    </row>
    <row r="53" spans="1:15" x14ac:dyDescent="0.35">
      <c r="A53" s="2" t="s">
        <v>106</v>
      </c>
      <c r="B53" s="2" t="s">
        <v>56</v>
      </c>
      <c r="C53" s="2" t="s">
        <v>50</v>
      </c>
      <c r="D53" s="2" t="s">
        <v>231</v>
      </c>
      <c r="E53">
        <v>2017</v>
      </c>
      <c r="F53" s="2" t="s">
        <v>6</v>
      </c>
      <c r="G53">
        <v>1</v>
      </c>
      <c r="H53" s="2" t="s">
        <v>7</v>
      </c>
      <c r="I53">
        <v>1</v>
      </c>
      <c r="J53" s="2" t="s">
        <v>16</v>
      </c>
      <c r="K53">
        <v>1</v>
      </c>
      <c r="L53" s="2" t="s">
        <v>24</v>
      </c>
      <c r="M53">
        <v>1</v>
      </c>
      <c r="N53" s="2" t="s">
        <v>39</v>
      </c>
      <c r="O53">
        <v>1</v>
      </c>
    </row>
    <row r="54" spans="1:15" x14ac:dyDescent="0.35">
      <c r="A54" s="2" t="s">
        <v>106</v>
      </c>
      <c r="B54" s="2" t="s">
        <v>56</v>
      </c>
      <c r="C54" s="2" t="s">
        <v>50</v>
      </c>
      <c r="D54" s="2" t="s">
        <v>231</v>
      </c>
      <c r="E54">
        <v>2017</v>
      </c>
      <c r="F54" s="2" t="s">
        <v>6</v>
      </c>
      <c r="G54">
        <v>1</v>
      </c>
      <c r="H54" s="2" t="s">
        <v>7</v>
      </c>
      <c r="I54">
        <v>1</v>
      </c>
      <c r="J54" s="2" t="s">
        <v>16</v>
      </c>
      <c r="K54">
        <v>1</v>
      </c>
      <c r="L54" s="2" t="s">
        <v>24</v>
      </c>
      <c r="M54">
        <v>1</v>
      </c>
      <c r="N54" s="2" t="s">
        <v>41</v>
      </c>
      <c r="O54">
        <v>1</v>
      </c>
    </row>
    <row r="55" spans="1:15" x14ac:dyDescent="0.35">
      <c r="A55" s="2" t="s">
        <v>107</v>
      </c>
      <c r="B55" s="2" t="s">
        <v>56</v>
      </c>
      <c r="C55" s="2" t="s">
        <v>50</v>
      </c>
      <c r="D55" s="2" t="s">
        <v>231</v>
      </c>
      <c r="E55">
        <v>2017</v>
      </c>
      <c r="F55" s="2" t="s">
        <v>6</v>
      </c>
      <c r="G55">
        <v>1</v>
      </c>
      <c r="H55" s="2" t="s">
        <v>7</v>
      </c>
      <c r="I55">
        <v>1</v>
      </c>
      <c r="J55" s="2" t="s">
        <v>16</v>
      </c>
      <c r="K55">
        <v>1</v>
      </c>
      <c r="L55" s="2" t="s">
        <v>24</v>
      </c>
      <c r="M55">
        <v>1</v>
      </c>
      <c r="N55" s="2" t="s">
        <v>35</v>
      </c>
      <c r="O55">
        <v>1</v>
      </c>
    </row>
    <row r="56" spans="1:15" x14ac:dyDescent="0.35">
      <c r="A56" s="2" t="s">
        <v>107</v>
      </c>
      <c r="B56" s="2" t="s">
        <v>56</v>
      </c>
      <c r="C56" s="2" t="s">
        <v>50</v>
      </c>
      <c r="D56" s="2" t="s">
        <v>231</v>
      </c>
      <c r="E56">
        <v>2017</v>
      </c>
      <c r="F56" s="2" t="s">
        <v>6</v>
      </c>
      <c r="G56">
        <v>1</v>
      </c>
      <c r="H56" s="2" t="s">
        <v>7</v>
      </c>
      <c r="I56">
        <v>1</v>
      </c>
      <c r="J56" s="2" t="s">
        <v>16</v>
      </c>
      <c r="K56">
        <v>1</v>
      </c>
      <c r="L56" s="2" t="s">
        <v>24</v>
      </c>
      <c r="M56">
        <v>1</v>
      </c>
      <c r="N56" s="2" t="s">
        <v>38</v>
      </c>
      <c r="O56">
        <v>1</v>
      </c>
    </row>
    <row r="57" spans="1:15" x14ac:dyDescent="0.35">
      <c r="A57" s="2" t="s">
        <v>107</v>
      </c>
      <c r="B57" s="2" t="s">
        <v>56</v>
      </c>
      <c r="C57" s="2" t="s">
        <v>50</v>
      </c>
      <c r="D57" s="2" t="s">
        <v>231</v>
      </c>
      <c r="E57">
        <v>2017</v>
      </c>
      <c r="F57" s="2" t="s">
        <v>6</v>
      </c>
      <c r="G57">
        <v>1</v>
      </c>
      <c r="H57" s="2" t="s">
        <v>7</v>
      </c>
      <c r="I57">
        <v>1</v>
      </c>
      <c r="J57" s="2" t="s">
        <v>16</v>
      </c>
      <c r="K57">
        <v>1</v>
      </c>
      <c r="L57" s="2" t="s">
        <v>24</v>
      </c>
      <c r="M57">
        <v>1</v>
      </c>
      <c r="N57" s="2" t="s">
        <v>41</v>
      </c>
      <c r="O57">
        <v>1</v>
      </c>
    </row>
    <row r="58" spans="1:15" x14ac:dyDescent="0.35">
      <c r="A58" s="2" t="s">
        <v>107</v>
      </c>
      <c r="B58" s="2" t="s">
        <v>56</v>
      </c>
      <c r="C58" s="2" t="s">
        <v>50</v>
      </c>
      <c r="D58" s="2" t="s">
        <v>231</v>
      </c>
      <c r="E58">
        <v>2017</v>
      </c>
      <c r="F58" s="2" t="s">
        <v>6</v>
      </c>
      <c r="G58">
        <v>1</v>
      </c>
      <c r="H58" s="2" t="s">
        <v>7</v>
      </c>
      <c r="I58">
        <v>1</v>
      </c>
      <c r="J58" s="2" t="s">
        <v>16</v>
      </c>
      <c r="K58">
        <v>1</v>
      </c>
      <c r="L58" s="2" t="s">
        <v>24</v>
      </c>
      <c r="M58">
        <v>1</v>
      </c>
      <c r="N58" s="2" t="s">
        <v>42</v>
      </c>
      <c r="O58">
        <v>1</v>
      </c>
    </row>
    <row r="59" spans="1:15" x14ac:dyDescent="0.35">
      <c r="A59" s="2" t="s">
        <v>107</v>
      </c>
      <c r="B59" s="2" t="s">
        <v>56</v>
      </c>
      <c r="C59" s="2" t="s">
        <v>50</v>
      </c>
      <c r="D59" s="2" t="s">
        <v>231</v>
      </c>
      <c r="E59">
        <v>2017</v>
      </c>
      <c r="F59" s="2" t="s">
        <v>6</v>
      </c>
      <c r="G59">
        <v>1</v>
      </c>
      <c r="H59" s="2" t="s">
        <v>7</v>
      </c>
      <c r="I59">
        <v>1</v>
      </c>
      <c r="J59" s="2" t="s">
        <v>16</v>
      </c>
      <c r="K59">
        <v>1</v>
      </c>
      <c r="L59" s="2" t="s">
        <v>24</v>
      </c>
      <c r="M59">
        <v>1</v>
      </c>
      <c r="N59" s="2" t="s">
        <v>44</v>
      </c>
      <c r="O59">
        <v>1</v>
      </c>
    </row>
    <row r="60" spans="1:15" x14ac:dyDescent="0.35">
      <c r="A60" s="2" t="s">
        <v>107</v>
      </c>
      <c r="B60" s="2" t="s">
        <v>56</v>
      </c>
      <c r="C60" s="2" t="s">
        <v>50</v>
      </c>
      <c r="D60" s="2" t="s">
        <v>231</v>
      </c>
      <c r="E60">
        <v>2017</v>
      </c>
      <c r="F60" s="2" t="s">
        <v>6</v>
      </c>
      <c r="G60">
        <v>1</v>
      </c>
      <c r="H60" s="2" t="s">
        <v>7</v>
      </c>
      <c r="I60">
        <v>1</v>
      </c>
      <c r="J60" s="2" t="s">
        <v>17</v>
      </c>
      <c r="K60">
        <v>1</v>
      </c>
      <c r="L60" s="2" t="s">
        <v>24</v>
      </c>
      <c r="M60">
        <v>1</v>
      </c>
      <c r="N60" s="2" t="s">
        <v>35</v>
      </c>
      <c r="O60">
        <v>1</v>
      </c>
    </row>
    <row r="61" spans="1:15" x14ac:dyDescent="0.35">
      <c r="A61" s="2" t="s">
        <v>107</v>
      </c>
      <c r="B61" s="2" t="s">
        <v>56</v>
      </c>
      <c r="C61" s="2" t="s">
        <v>50</v>
      </c>
      <c r="D61" s="2" t="s">
        <v>231</v>
      </c>
      <c r="E61">
        <v>2017</v>
      </c>
      <c r="F61" s="2" t="s">
        <v>6</v>
      </c>
      <c r="G61">
        <v>1</v>
      </c>
      <c r="H61" s="2" t="s">
        <v>7</v>
      </c>
      <c r="I61">
        <v>1</v>
      </c>
      <c r="J61" s="2" t="s">
        <v>17</v>
      </c>
      <c r="K61">
        <v>1</v>
      </c>
      <c r="L61" s="2" t="s">
        <v>24</v>
      </c>
      <c r="M61">
        <v>1</v>
      </c>
      <c r="N61" s="2" t="s">
        <v>38</v>
      </c>
      <c r="O61">
        <v>1</v>
      </c>
    </row>
    <row r="62" spans="1:15" x14ac:dyDescent="0.35">
      <c r="A62" s="2" t="s">
        <v>107</v>
      </c>
      <c r="B62" s="2" t="s">
        <v>56</v>
      </c>
      <c r="C62" s="2" t="s">
        <v>50</v>
      </c>
      <c r="D62" s="2" t="s">
        <v>231</v>
      </c>
      <c r="E62">
        <v>2017</v>
      </c>
      <c r="F62" s="2" t="s">
        <v>6</v>
      </c>
      <c r="G62">
        <v>1</v>
      </c>
      <c r="H62" s="2" t="s">
        <v>7</v>
      </c>
      <c r="I62">
        <v>1</v>
      </c>
      <c r="J62" s="2" t="s">
        <v>17</v>
      </c>
      <c r="K62">
        <v>1</v>
      </c>
      <c r="L62" s="2" t="s">
        <v>24</v>
      </c>
      <c r="M62">
        <v>1</v>
      </c>
      <c r="N62" s="2" t="s">
        <v>41</v>
      </c>
      <c r="O62">
        <v>1</v>
      </c>
    </row>
    <row r="63" spans="1:15" x14ac:dyDescent="0.35">
      <c r="A63" s="2" t="s">
        <v>107</v>
      </c>
      <c r="B63" s="2" t="s">
        <v>56</v>
      </c>
      <c r="C63" s="2" t="s">
        <v>50</v>
      </c>
      <c r="D63" s="2" t="s">
        <v>231</v>
      </c>
      <c r="E63">
        <v>2017</v>
      </c>
      <c r="F63" s="2" t="s">
        <v>6</v>
      </c>
      <c r="G63">
        <v>1</v>
      </c>
      <c r="H63" s="2" t="s">
        <v>7</v>
      </c>
      <c r="I63">
        <v>1</v>
      </c>
      <c r="J63" s="2" t="s">
        <v>17</v>
      </c>
      <c r="K63">
        <v>1</v>
      </c>
      <c r="L63" s="2" t="s">
        <v>24</v>
      </c>
      <c r="M63">
        <v>1</v>
      </c>
      <c r="N63" s="2" t="s">
        <v>42</v>
      </c>
      <c r="O63">
        <v>1</v>
      </c>
    </row>
    <row r="64" spans="1:15" x14ac:dyDescent="0.35">
      <c r="A64" s="2" t="s">
        <v>107</v>
      </c>
      <c r="B64" s="2" t="s">
        <v>56</v>
      </c>
      <c r="C64" s="2" t="s">
        <v>50</v>
      </c>
      <c r="D64" s="2" t="s">
        <v>231</v>
      </c>
      <c r="E64">
        <v>2017</v>
      </c>
      <c r="F64" s="2" t="s">
        <v>6</v>
      </c>
      <c r="G64">
        <v>1</v>
      </c>
      <c r="H64" s="2" t="s">
        <v>7</v>
      </c>
      <c r="I64">
        <v>1</v>
      </c>
      <c r="J64" s="2" t="s">
        <v>17</v>
      </c>
      <c r="K64">
        <v>1</v>
      </c>
      <c r="L64" s="2" t="s">
        <v>24</v>
      </c>
      <c r="M64">
        <v>1</v>
      </c>
      <c r="N64" s="2" t="s">
        <v>44</v>
      </c>
      <c r="O64">
        <v>1</v>
      </c>
    </row>
    <row r="65" spans="1:15" x14ac:dyDescent="0.35">
      <c r="A65" s="2" t="s">
        <v>108</v>
      </c>
      <c r="B65" s="2" t="s">
        <v>56</v>
      </c>
      <c r="C65" s="2" t="s">
        <v>50</v>
      </c>
      <c r="D65" s="2" t="s">
        <v>231</v>
      </c>
      <c r="E65">
        <v>2017</v>
      </c>
      <c r="F65" s="2" t="s">
        <v>6</v>
      </c>
      <c r="G65">
        <v>1</v>
      </c>
      <c r="H65" s="2" t="s">
        <v>7</v>
      </c>
      <c r="I65">
        <v>1</v>
      </c>
      <c r="J65" s="2" t="s">
        <v>16</v>
      </c>
      <c r="K65">
        <v>1</v>
      </c>
      <c r="L65" s="2" t="s">
        <v>24</v>
      </c>
      <c r="M65">
        <v>1</v>
      </c>
      <c r="N65" s="2" t="s">
        <v>35</v>
      </c>
      <c r="O65">
        <v>1</v>
      </c>
    </row>
    <row r="66" spans="1:15" x14ac:dyDescent="0.35">
      <c r="A66" s="2" t="s">
        <v>108</v>
      </c>
      <c r="B66" s="2" t="s">
        <v>56</v>
      </c>
      <c r="C66" s="2" t="s">
        <v>50</v>
      </c>
      <c r="D66" s="2" t="s">
        <v>231</v>
      </c>
      <c r="E66">
        <v>2017</v>
      </c>
      <c r="F66" s="2" t="s">
        <v>6</v>
      </c>
      <c r="G66">
        <v>1</v>
      </c>
      <c r="H66" s="2" t="s">
        <v>7</v>
      </c>
      <c r="I66">
        <v>1</v>
      </c>
      <c r="J66" s="2" t="s">
        <v>16</v>
      </c>
      <c r="K66">
        <v>1</v>
      </c>
      <c r="L66" s="2" t="s">
        <v>24</v>
      </c>
      <c r="M66">
        <v>1</v>
      </c>
      <c r="N66" s="2" t="s">
        <v>38</v>
      </c>
      <c r="O66">
        <v>1</v>
      </c>
    </row>
    <row r="67" spans="1:15" x14ac:dyDescent="0.35">
      <c r="A67" s="2" t="s">
        <v>108</v>
      </c>
      <c r="B67" s="2" t="s">
        <v>56</v>
      </c>
      <c r="C67" s="2" t="s">
        <v>50</v>
      </c>
      <c r="D67" s="2" t="s">
        <v>231</v>
      </c>
      <c r="E67">
        <v>2017</v>
      </c>
      <c r="F67" s="2" t="s">
        <v>6</v>
      </c>
      <c r="G67">
        <v>1</v>
      </c>
      <c r="H67" s="2" t="s">
        <v>7</v>
      </c>
      <c r="I67">
        <v>1</v>
      </c>
      <c r="J67" s="2" t="s">
        <v>16</v>
      </c>
      <c r="K67">
        <v>1</v>
      </c>
      <c r="L67" s="2" t="s">
        <v>24</v>
      </c>
      <c r="M67">
        <v>1</v>
      </c>
      <c r="N67" s="2" t="s">
        <v>41</v>
      </c>
      <c r="O67">
        <v>1</v>
      </c>
    </row>
    <row r="68" spans="1:15" x14ac:dyDescent="0.35">
      <c r="A68" s="2" t="s">
        <v>108</v>
      </c>
      <c r="B68" s="2" t="s">
        <v>56</v>
      </c>
      <c r="C68" s="2" t="s">
        <v>50</v>
      </c>
      <c r="D68" s="2" t="s">
        <v>231</v>
      </c>
      <c r="E68">
        <v>2017</v>
      </c>
      <c r="F68" s="2" t="s">
        <v>6</v>
      </c>
      <c r="G68">
        <v>1</v>
      </c>
      <c r="H68" s="2" t="s">
        <v>7</v>
      </c>
      <c r="I68">
        <v>1</v>
      </c>
      <c r="J68" s="2" t="s">
        <v>16</v>
      </c>
      <c r="K68">
        <v>1</v>
      </c>
      <c r="L68" s="2" t="s">
        <v>24</v>
      </c>
      <c r="M68">
        <v>1</v>
      </c>
      <c r="N68" s="2" t="s">
        <v>42</v>
      </c>
      <c r="O68">
        <v>1</v>
      </c>
    </row>
    <row r="69" spans="1:15" x14ac:dyDescent="0.35">
      <c r="A69" s="2" t="s">
        <v>108</v>
      </c>
      <c r="B69" s="2" t="s">
        <v>56</v>
      </c>
      <c r="C69" s="2" t="s">
        <v>50</v>
      </c>
      <c r="D69" s="2" t="s">
        <v>231</v>
      </c>
      <c r="E69">
        <v>2017</v>
      </c>
      <c r="F69" s="2" t="s">
        <v>6</v>
      </c>
      <c r="G69">
        <v>1</v>
      </c>
      <c r="H69" s="2" t="s">
        <v>7</v>
      </c>
      <c r="I69">
        <v>1</v>
      </c>
      <c r="J69" s="2" t="s">
        <v>16</v>
      </c>
      <c r="K69">
        <v>1</v>
      </c>
      <c r="L69" s="2" t="s">
        <v>24</v>
      </c>
      <c r="M69">
        <v>1</v>
      </c>
      <c r="N69" s="2" t="s">
        <v>44</v>
      </c>
      <c r="O69">
        <v>1</v>
      </c>
    </row>
    <row r="70" spans="1:15" x14ac:dyDescent="0.35">
      <c r="A70" s="2" t="s">
        <v>108</v>
      </c>
      <c r="B70" s="2" t="s">
        <v>56</v>
      </c>
      <c r="C70" s="2" t="s">
        <v>50</v>
      </c>
      <c r="D70" s="2" t="s">
        <v>231</v>
      </c>
      <c r="E70">
        <v>2017</v>
      </c>
      <c r="F70" s="2" t="s">
        <v>6</v>
      </c>
      <c r="G70">
        <v>1</v>
      </c>
      <c r="H70" s="2" t="s">
        <v>7</v>
      </c>
      <c r="I70">
        <v>1</v>
      </c>
      <c r="J70" s="2" t="s">
        <v>17</v>
      </c>
      <c r="K70">
        <v>1</v>
      </c>
      <c r="L70" s="2" t="s">
        <v>24</v>
      </c>
      <c r="M70">
        <v>1</v>
      </c>
      <c r="N70" s="2" t="s">
        <v>35</v>
      </c>
      <c r="O70">
        <v>1</v>
      </c>
    </row>
    <row r="71" spans="1:15" x14ac:dyDescent="0.35">
      <c r="A71" s="2" t="s">
        <v>108</v>
      </c>
      <c r="B71" s="2" t="s">
        <v>56</v>
      </c>
      <c r="C71" s="2" t="s">
        <v>50</v>
      </c>
      <c r="D71" s="2" t="s">
        <v>231</v>
      </c>
      <c r="E71">
        <v>2017</v>
      </c>
      <c r="F71" s="2" t="s">
        <v>6</v>
      </c>
      <c r="G71">
        <v>1</v>
      </c>
      <c r="H71" s="2" t="s">
        <v>7</v>
      </c>
      <c r="I71">
        <v>1</v>
      </c>
      <c r="J71" s="2" t="s">
        <v>17</v>
      </c>
      <c r="K71">
        <v>1</v>
      </c>
      <c r="L71" s="2" t="s">
        <v>24</v>
      </c>
      <c r="M71">
        <v>1</v>
      </c>
      <c r="N71" s="2" t="s">
        <v>38</v>
      </c>
      <c r="O71">
        <v>1</v>
      </c>
    </row>
    <row r="72" spans="1:15" x14ac:dyDescent="0.35">
      <c r="A72" s="2" t="s">
        <v>108</v>
      </c>
      <c r="B72" s="2" t="s">
        <v>56</v>
      </c>
      <c r="C72" s="2" t="s">
        <v>50</v>
      </c>
      <c r="D72" s="2" t="s">
        <v>231</v>
      </c>
      <c r="E72">
        <v>2017</v>
      </c>
      <c r="F72" s="2" t="s">
        <v>6</v>
      </c>
      <c r="G72">
        <v>1</v>
      </c>
      <c r="H72" s="2" t="s">
        <v>7</v>
      </c>
      <c r="I72">
        <v>1</v>
      </c>
      <c r="J72" s="2" t="s">
        <v>17</v>
      </c>
      <c r="K72">
        <v>1</v>
      </c>
      <c r="L72" s="2" t="s">
        <v>24</v>
      </c>
      <c r="M72">
        <v>1</v>
      </c>
      <c r="N72" s="2" t="s">
        <v>41</v>
      </c>
      <c r="O72">
        <v>1</v>
      </c>
    </row>
    <row r="73" spans="1:15" x14ac:dyDescent="0.35">
      <c r="A73" s="2" t="s">
        <v>108</v>
      </c>
      <c r="B73" s="2" t="s">
        <v>56</v>
      </c>
      <c r="C73" s="2" t="s">
        <v>50</v>
      </c>
      <c r="D73" s="2" t="s">
        <v>231</v>
      </c>
      <c r="E73">
        <v>2017</v>
      </c>
      <c r="F73" s="2" t="s">
        <v>6</v>
      </c>
      <c r="G73">
        <v>1</v>
      </c>
      <c r="H73" s="2" t="s">
        <v>7</v>
      </c>
      <c r="I73">
        <v>1</v>
      </c>
      <c r="J73" s="2" t="s">
        <v>17</v>
      </c>
      <c r="K73">
        <v>1</v>
      </c>
      <c r="L73" s="2" t="s">
        <v>24</v>
      </c>
      <c r="M73">
        <v>1</v>
      </c>
      <c r="N73" s="2" t="s">
        <v>42</v>
      </c>
      <c r="O73">
        <v>1</v>
      </c>
    </row>
    <row r="74" spans="1:15" x14ac:dyDescent="0.35">
      <c r="A74" s="2" t="s">
        <v>108</v>
      </c>
      <c r="B74" s="2" t="s">
        <v>56</v>
      </c>
      <c r="C74" s="2" t="s">
        <v>50</v>
      </c>
      <c r="D74" s="2" t="s">
        <v>231</v>
      </c>
      <c r="E74">
        <v>2017</v>
      </c>
      <c r="F74" s="2" t="s">
        <v>6</v>
      </c>
      <c r="G74">
        <v>1</v>
      </c>
      <c r="H74" s="2" t="s">
        <v>7</v>
      </c>
      <c r="I74">
        <v>1</v>
      </c>
      <c r="J74" s="2" t="s">
        <v>17</v>
      </c>
      <c r="K74">
        <v>1</v>
      </c>
      <c r="L74" s="2" t="s">
        <v>24</v>
      </c>
      <c r="M74">
        <v>1</v>
      </c>
      <c r="N74" s="2" t="s">
        <v>44</v>
      </c>
      <c r="O74">
        <v>1</v>
      </c>
    </row>
    <row r="75" spans="1:15" x14ac:dyDescent="0.35">
      <c r="A75" s="2" t="s">
        <v>109</v>
      </c>
      <c r="B75" s="2" t="s">
        <v>56</v>
      </c>
      <c r="C75" s="2" t="s">
        <v>50</v>
      </c>
      <c r="D75" s="2" t="s">
        <v>231</v>
      </c>
      <c r="E75">
        <v>2017</v>
      </c>
      <c r="F75" s="2" t="s">
        <v>6</v>
      </c>
      <c r="G75">
        <v>1</v>
      </c>
      <c r="H75" s="2" t="s">
        <v>7</v>
      </c>
      <c r="I75">
        <v>1</v>
      </c>
      <c r="J75" s="2" t="s">
        <v>16</v>
      </c>
      <c r="K75">
        <v>1</v>
      </c>
      <c r="L75" s="2" t="s">
        <v>24</v>
      </c>
      <c r="M75">
        <v>1</v>
      </c>
      <c r="N75" s="2" t="s">
        <v>37</v>
      </c>
      <c r="O75">
        <v>1</v>
      </c>
    </row>
    <row r="76" spans="1:15" x14ac:dyDescent="0.35">
      <c r="A76" s="2" t="s">
        <v>109</v>
      </c>
      <c r="B76" s="2" t="s">
        <v>56</v>
      </c>
      <c r="C76" s="2" t="s">
        <v>50</v>
      </c>
      <c r="D76" s="2" t="s">
        <v>231</v>
      </c>
      <c r="E76">
        <v>2017</v>
      </c>
      <c r="F76" s="2" t="s">
        <v>6</v>
      </c>
      <c r="G76">
        <v>1</v>
      </c>
      <c r="H76" s="2" t="s">
        <v>7</v>
      </c>
      <c r="I76">
        <v>1</v>
      </c>
      <c r="J76" s="2" t="s">
        <v>16</v>
      </c>
      <c r="K76">
        <v>1</v>
      </c>
      <c r="L76" s="2" t="s">
        <v>24</v>
      </c>
      <c r="M76">
        <v>1</v>
      </c>
      <c r="N76" s="2" t="s">
        <v>38</v>
      </c>
      <c r="O76">
        <v>1</v>
      </c>
    </row>
    <row r="77" spans="1:15" x14ac:dyDescent="0.35">
      <c r="A77" s="2" t="s">
        <v>109</v>
      </c>
      <c r="B77" s="2" t="s">
        <v>56</v>
      </c>
      <c r="C77" s="2" t="s">
        <v>50</v>
      </c>
      <c r="D77" s="2" t="s">
        <v>231</v>
      </c>
      <c r="E77">
        <v>2017</v>
      </c>
      <c r="F77" s="2" t="s">
        <v>6</v>
      </c>
      <c r="G77">
        <v>1</v>
      </c>
      <c r="H77" s="2" t="s">
        <v>7</v>
      </c>
      <c r="I77">
        <v>1</v>
      </c>
      <c r="J77" s="2" t="s">
        <v>16</v>
      </c>
      <c r="K77">
        <v>1</v>
      </c>
      <c r="L77" s="2" t="s">
        <v>24</v>
      </c>
      <c r="M77">
        <v>1</v>
      </c>
      <c r="N77" s="2" t="s">
        <v>39</v>
      </c>
      <c r="O77">
        <v>1</v>
      </c>
    </row>
    <row r="78" spans="1:15" x14ac:dyDescent="0.35">
      <c r="A78" s="2" t="s">
        <v>109</v>
      </c>
      <c r="B78" s="2" t="s">
        <v>56</v>
      </c>
      <c r="C78" s="2" t="s">
        <v>50</v>
      </c>
      <c r="D78" s="2" t="s">
        <v>231</v>
      </c>
      <c r="E78">
        <v>2017</v>
      </c>
      <c r="F78" s="2" t="s">
        <v>6</v>
      </c>
      <c r="G78">
        <v>1</v>
      </c>
      <c r="H78" s="2" t="s">
        <v>7</v>
      </c>
      <c r="I78">
        <v>1</v>
      </c>
      <c r="J78" s="2" t="s">
        <v>17</v>
      </c>
      <c r="K78">
        <v>1</v>
      </c>
      <c r="L78" s="2" t="s">
        <v>24</v>
      </c>
      <c r="M78">
        <v>1</v>
      </c>
      <c r="N78" s="2" t="s">
        <v>37</v>
      </c>
      <c r="O78">
        <v>1</v>
      </c>
    </row>
    <row r="79" spans="1:15" x14ac:dyDescent="0.35">
      <c r="A79" s="2" t="s">
        <v>109</v>
      </c>
      <c r="B79" s="2" t="s">
        <v>56</v>
      </c>
      <c r="C79" s="2" t="s">
        <v>50</v>
      </c>
      <c r="D79" s="2" t="s">
        <v>231</v>
      </c>
      <c r="E79">
        <v>2017</v>
      </c>
      <c r="F79" s="2" t="s">
        <v>6</v>
      </c>
      <c r="G79">
        <v>1</v>
      </c>
      <c r="H79" s="2" t="s">
        <v>7</v>
      </c>
      <c r="I79">
        <v>1</v>
      </c>
      <c r="J79" s="2" t="s">
        <v>17</v>
      </c>
      <c r="K79">
        <v>1</v>
      </c>
      <c r="L79" s="2" t="s">
        <v>24</v>
      </c>
      <c r="M79">
        <v>1</v>
      </c>
      <c r="N79" s="2" t="s">
        <v>38</v>
      </c>
      <c r="O79">
        <v>1</v>
      </c>
    </row>
    <row r="80" spans="1:15" x14ac:dyDescent="0.35">
      <c r="A80" s="2" t="s">
        <v>109</v>
      </c>
      <c r="B80" s="2" t="s">
        <v>56</v>
      </c>
      <c r="C80" s="2" t="s">
        <v>50</v>
      </c>
      <c r="D80" s="2" t="s">
        <v>231</v>
      </c>
      <c r="E80">
        <v>2017</v>
      </c>
      <c r="F80" s="2" t="s">
        <v>6</v>
      </c>
      <c r="G80">
        <v>1</v>
      </c>
      <c r="H80" s="2" t="s">
        <v>7</v>
      </c>
      <c r="I80">
        <v>1</v>
      </c>
      <c r="J80" s="2" t="s">
        <v>17</v>
      </c>
      <c r="K80">
        <v>1</v>
      </c>
      <c r="L80" s="2" t="s">
        <v>24</v>
      </c>
      <c r="M80">
        <v>1</v>
      </c>
      <c r="N80" s="2" t="s">
        <v>39</v>
      </c>
      <c r="O80">
        <v>1</v>
      </c>
    </row>
    <row r="81" spans="1:15" x14ac:dyDescent="0.35">
      <c r="A81" s="2" t="s">
        <v>111</v>
      </c>
      <c r="B81" s="2" t="s">
        <v>56</v>
      </c>
      <c r="C81" s="2" t="s">
        <v>50</v>
      </c>
      <c r="D81" s="2" t="s">
        <v>231</v>
      </c>
      <c r="E81">
        <v>2012</v>
      </c>
      <c r="F81" s="2" t="s">
        <v>6</v>
      </c>
      <c r="G81">
        <v>1</v>
      </c>
      <c r="H81" s="2" t="s">
        <v>7</v>
      </c>
      <c r="I81">
        <v>1</v>
      </c>
      <c r="J81" s="2" t="s">
        <v>16</v>
      </c>
      <c r="K81">
        <v>1</v>
      </c>
      <c r="L81" s="2" t="s">
        <v>24</v>
      </c>
      <c r="M81">
        <v>1</v>
      </c>
      <c r="N81" s="2" t="s">
        <v>33</v>
      </c>
      <c r="O81">
        <v>1</v>
      </c>
    </row>
    <row r="82" spans="1:15" x14ac:dyDescent="0.35">
      <c r="A82" s="2" t="s">
        <v>111</v>
      </c>
      <c r="B82" s="2" t="s">
        <v>56</v>
      </c>
      <c r="C82" s="2" t="s">
        <v>50</v>
      </c>
      <c r="D82" s="2" t="s">
        <v>231</v>
      </c>
      <c r="E82">
        <v>2012</v>
      </c>
      <c r="F82" s="2" t="s">
        <v>6</v>
      </c>
      <c r="G82">
        <v>1</v>
      </c>
      <c r="H82" s="2" t="s">
        <v>7</v>
      </c>
      <c r="I82">
        <v>1</v>
      </c>
      <c r="J82" s="2" t="s">
        <v>16</v>
      </c>
      <c r="K82">
        <v>1</v>
      </c>
      <c r="L82" s="2" t="s">
        <v>24</v>
      </c>
      <c r="M82">
        <v>1</v>
      </c>
      <c r="N82" s="2" t="s">
        <v>44</v>
      </c>
      <c r="O82">
        <v>1</v>
      </c>
    </row>
    <row r="83" spans="1:15" x14ac:dyDescent="0.35">
      <c r="A83" s="2" t="s">
        <v>111</v>
      </c>
      <c r="B83" s="2" t="s">
        <v>56</v>
      </c>
      <c r="C83" s="2" t="s">
        <v>50</v>
      </c>
      <c r="D83" s="2" t="s">
        <v>231</v>
      </c>
      <c r="E83">
        <v>2012</v>
      </c>
      <c r="F83" s="2" t="s">
        <v>6</v>
      </c>
      <c r="G83">
        <v>1</v>
      </c>
      <c r="H83" s="2" t="s">
        <v>7</v>
      </c>
      <c r="I83">
        <v>1</v>
      </c>
      <c r="J83" s="2" t="s">
        <v>17</v>
      </c>
      <c r="K83">
        <v>1</v>
      </c>
      <c r="L83" s="2" t="s">
        <v>24</v>
      </c>
      <c r="M83">
        <v>1</v>
      </c>
      <c r="N83" s="2" t="s">
        <v>33</v>
      </c>
      <c r="O83">
        <v>1</v>
      </c>
    </row>
    <row r="84" spans="1:15" x14ac:dyDescent="0.35">
      <c r="A84" s="2" t="s">
        <v>111</v>
      </c>
      <c r="B84" s="2" t="s">
        <v>56</v>
      </c>
      <c r="C84" s="2" t="s">
        <v>50</v>
      </c>
      <c r="D84" s="2" t="s">
        <v>231</v>
      </c>
      <c r="E84">
        <v>2012</v>
      </c>
      <c r="F84" s="2" t="s">
        <v>6</v>
      </c>
      <c r="G84">
        <v>1</v>
      </c>
      <c r="H84" s="2" t="s">
        <v>7</v>
      </c>
      <c r="I84">
        <v>1</v>
      </c>
      <c r="J84" s="2" t="s">
        <v>17</v>
      </c>
      <c r="K84">
        <v>1</v>
      </c>
      <c r="L84" s="2" t="s">
        <v>24</v>
      </c>
      <c r="M84">
        <v>1</v>
      </c>
      <c r="N84" s="2" t="s">
        <v>44</v>
      </c>
      <c r="O84">
        <v>1</v>
      </c>
    </row>
    <row r="85" spans="1:15" x14ac:dyDescent="0.35">
      <c r="A85" s="2" t="s">
        <v>122</v>
      </c>
      <c r="B85" s="2" t="s">
        <v>56</v>
      </c>
      <c r="C85" s="2" t="s">
        <v>50</v>
      </c>
      <c r="D85" s="2" t="s">
        <v>231</v>
      </c>
      <c r="E85">
        <v>2021</v>
      </c>
      <c r="F85" s="2" t="s">
        <v>6</v>
      </c>
      <c r="G85">
        <v>1</v>
      </c>
      <c r="H85" s="2" t="s">
        <v>7</v>
      </c>
      <c r="I85">
        <v>1</v>
      </c>
      <c r="J85" s="2" t="s">
        <v>15</v>
      </c>
      <c r="K85">
        <v>1</v>
      </c>
      <c r="L85" s="2" t="s">
        <v>24</v>
      </c>
      <c r="M85">
        <v>1</v>
      </c>
      <c r="N85" s="2" t="s">
        <v>37</v>
      </c>
      <c r="O85">
        <v>1</v>
      </c>
    </row>
    <row r="86" spans="1:15" x14ac:dyDescent="0.35">
      <c r="A86" s="2" t="s">
        <v>122</v>
      </c>
      <c r="B86" s="2" t="s">
        <v>56</v>
      </c>
      <c r="C86" s="2" t="s">
        <v>50</v>
      </c>
      <c r="D86" s="2" t="s">
        <v>231</v>
      </c>
      <c r="E86">
        <v>2021</v>
      </c>
      <c r="F86" s="2" t="s">
        <v>6</v>
      </c>
      <c r="G86">
        <v>1</v>
      </c>
      <c r="H86" s="2" t="s">
        <v>7</v>
      </c>
      <c r="I86">
        <v>1</v>
      </c>
      <c r="J86" s="2" t="s">
        <v>15</v>
      </c>
      <c r="K86">
        <v>1</v>
      </c>
      <c r="L86" s="2" t="s">
        <v>24</v>
      </c>
      <c r="M86">
        <v>1</v>
      </c>
      <c r="N86" s="2" t="s">
        <v>38</v>
      </c>
      <c r="O86">
        <v>1</v>
      </c>
    </row>
    <row r="87" spans="1:15" x14ac:dyDescent="0.35">
      <c r="A87" s="2" t="s">
        <v>122</v>
      </c>
      <c r="B87" s="2" t="s">
        <v>56</v>
      </c>
      <c r="C87" s="2" t="s">
        <v>50</v>
      </c>
      <c r="D87" s="2" t="s">
        <v>231</v>
      </c>
      <c r="E87">
        <v>2021</v>
      </c>
      <c r="F87" s="2" t="s">
        <v>6</v>
      </c>
      <c r="G87">
        <v>1</v>
      </c>
      <c r="H87" s="2" t="s">
        <v>7</v>
      </c>
      <c r="I87">
        <v>1</v>
      </c>
      <c r="J87" s="2" t="s">
        <v>15</v>
      </c>
      <c r="K87">
        <v>1</v>
      </c>
      <c r="L87" s="2" t="s">
        <v>24</v>
      </c>
      <c r="M87">
        <v>1</v>
      </c>
      <c r="N87" s="2" t="s">
        <v>39</v>
      </c>
      <c r="O87">
        <v>1</v>
      </c>
    </row>
    <row r="88" spans="1:15" x14ac:dyDescent="0.35">
      <c r="A88" s="2" t="s">
        <v>122</v>
      </c>
      <c r="B88" s="2" t="s">
        <v>56</v>
      </c>
      <c r="C88" s="2" t="s">
        <v>50</v>
      </c>
      <c r="D88" s="2" t="s">
        <v>231</v>
      </c>
      <c r="E88">
        <v>2021</v>
      </c>
      <c r="F88" s="2" t="s">
        <v>6</v>
      </c>
      <c r="G88">
        <v>1</v>
      </c>
      <c r="H88" s="2" t="s">
        <v>7</v>
      </c>
      <c r="I88">
        <v>1</v>
      </c>
      <c r="J88" s="2" t="s">
        <v>15</v>
      </c>
      <c r="K88">
        <v>1</v>
      </c>
      <c r="L88" s="2" t="s">
        <v>24</v>
      </c>
      <c r="M88">
        <v>1</v>
      </c>
      <c r="N88" s="2" t="s">
        <v>40</v>
      </c>
      <c r="O88">
        <v>1</v>
      </c>
    </row>
    <row r="89" spans="1:15" x14ac:dyDescent="0.35">
      <c r="A89" s="2" t="s">
        <v>122</v>
      </c>
      <c r="B89" s="2" t="s">
        <v>56</v>
      </c>
      <c r="C89" s="2" t="s">
        <v>50</v>
      </c>
      <c r="D89" s="2" t="s">
        <v>231</v>
      </c>
      <c r="E89">
        <v>2021</v>
      </c>
      <c r="F89" s="2" t="s">
        <v>6</v>
      </c>
      <c r="G89">
        <v>1</v>
      </c>
      <c r="H89" s="2" t="s">
        <v>7</v>
      </c>
      <c r="I89">
        <v>1</v>
      </c>
      <c r="J89" s="2" t="s">
        <v>16</v>
      </c>
      <c r="K89">
        <v>1</v>
      </c>
      <c r="L89" s="2" t="s">
        <v>24</v>
      </c>
      <c r="M89">
        <v>1</v>
      </c>
      <c r="N89" s="2" t="s">
        <v>37</v>
      </c>
      <c r="O89">
        <v>1</v>
      </c>
    </row>
    <row r="90" spans="1:15" x14ac:dyDescent="0.35">
      <c r="A90" s="2" t="s">
        <v>122</v>
      </c>
      <c r="B90" s="2" t="s">
        <v>56</v>
      </c>
      <c r="C90" s="2" t="s">
        <v>50</v>
      </c>
      <c r="D90" s="2" t="s">
        <v>231</v>
      </c>
      <c r="E90">
        <v>2021</v>
      </c>
      <c r="F90" s="2" t="s">
        <v>6</v>
      </c>
      <c r="G90">
        <v>1</v>
      </c>
      <c r="H90" s="2" t="s">
        <v>7</v>
      </c>
      <c r="I90">
        <v>1</v>
      </c>
      <c r="J90" s="2" t="s">
        <v>16</v>
      </c>
      <c r="K90">
        <v>1</v>
      </c>
      <c r="L90" s="2" t="s">
        <v>24</v>
      </c>
      <c r="M90">
        <v>1</v>
      </c>
      <c r="N90" s="2" t="s">
        <v>38</v>
      </c>
      <c r="O90">
        <v>1</v>
      </c>
    </row>
    <row r="91" spans="1:15" x14ac:dyDescent="0.35">
      <c r="A91" s="2" t="s">
        <v>122</v>
      </c>
      <c r="B91" s="2" t="s">
        <v>56</v>
      </c>
      <c r="C91" s="2" t="s">
        <v>50</v>
      </c>
      <c r="D91" s="2" t="s">
        <v>231</v>
      </c>
      <c r="E91">
        <v>2021</v>
      </c>
      <c r="F91" s="2" t="s">
        <v>6</v>
      </c>
      <c r="G91">
        <v>1</v>
      </c>
      <c r="H91" s="2" t="s">
        <v>7</v>
      </c>
      <c r="I91">
        <v>1</v>
      </c>
      <c r="J91" s="2" t="s">
        <v>16</v>
      </c>
      <c r="K91">
        <v>1</v>
      </c>
      <c r="L91" s="2" t="s">
        <v>24</v>
      </c>
      <c r="M91">
        <v>1</v>
      </c>
      <c r="N91" s="2" t="s">
        <v>39</v>
      </c>
      <c r="O91">
        <v>1</v>
      </c>
    </row>
    <row r="92" spans="1:15" x14ac:dyDescent="0.35">
      <c r="A92" s="2" t="s">
        <v>122</v>
      </c>
      <c r="B92" s="2" t="s">
        <v>56</v>
      </c>
      <c r="C92" s="2" t="s">
        <v>50</v>
      </c>
      <c r="D92" s="2" t="s">
        <v>231</v>
      </c>
      <c r="E92">
        <v>2021</v>
      </c>
      <c r="F92" s="2" t="s">
        <v>6</v>
      </c>
      <c r="G92">
        <v>1</v>
      </c>
      <c r="H92" s="2" t="s">
        <v>7</v>
      </c>
      <c r="I92">
        <v>1</v>
      </c>
      <c r="J92" s="2" t="s">
        <v>16</v>
      </c>
      <c r="K92">
        <v>1</v>
      </c>
      <c r="L92" s="2" t="s">
        <v>24</v>
      </c>
      <c r="M92">
        <v>1</v>
      </c>
      <c r="N92" s="2" t="s">
        <v>40</v>
      </c>
      <c r="O92">
        <v>1</v>
      </c>
    </row>
    <row r="93" spans="1:15" x14ac:dyDescent="0.35">
      <c r="A93" s="2" t="s">
        <v>125</v>
      </c>
      <c r="B93" s="2" t="s">
        <v>56</v>
      </c>
      <c r="C93" s="2" t="s">
        <v>50</v>
      </c>
      <c r="D93" s="2" t="s">
        <v>231</v>
      </c>
      <c r="E93">
        <v>2021</v>
      </c>
      <c r="F93" s="2" t="s">
        <v>6</v>
      </c>
      <c r="G93">
        <v>1</v>
      </c>
      <c r="H93" s="2" t="s">
        <v>7</v>
      </c>
      <c r="I93">
        <v>1</v>
      </c>
      <c r="J93" s="2" t="s">
        <v>15</v>
      </c>
      <c r="K93">
        <v>1</v>
      </c>
      <c r="L93" s="2" t="s">
        <v>24</v>
      </c>
      <c r="M93">
        <v>1</v>
      </c>
      <c r="N93" s="2" t="s">
        <v>37</v>
      </c>
      <c r="O93">
        <v>1</v>
      </c>
    </row>
    <row r="94" spans="1:15" x14ac:dyDescent="0.35">
      <c r="A94" s="2" t="s">
        <v>125</v>
      </c>
      <c r="B94" s="2" t="s">
        <v>56</v>
      </c>
      <c r="C94" s="2" t="s">
        <v>50</v>
      </c>
      <c r="D94" s="2" t="s">
        <v>231</v>
      </c>
      <c r="E94">
        <v>2021</v>
      </c>
      <c r="F94" s="2" t="s">
        <v>6</v>
      </c>
      <c r="G94">
        <v>1</v>
      </c>
      <c r="H94" s="2" t="s">
        <v>7</v>
      </c>
      <c r="I94">
        <v>1</v>
      </c>
      <c r="J94" s="2" t="s">
        <v>15</v>
      </c>
      <c r="K94">
        <v>1</v>
      </c>
      <c r="L94" s="2" t="s">
        <v>24</v>
      </c>
      <c r="M94">
        <v>1</v>
      </c>
      <c r="N94" s="2" t="s">
        <v>38</v>
      </c>
      <c r="O94">
        <v>1</v>
      </c>
    </row>
    <row r="95" spans="1:15" x14ac:dyDescent="0.35">
      <c r="A95" s="2" t="s">
        <v>125</v>
      </c>
      <c r="B95" s="2" t="s">
        <v>56</v>
      </c>
      <c r="C95" s="2" t="s">
        <v>50</v>
      </c>
      <c r="D95" s="2" t="s">
        <v>231</v>
      </c>
      <c r="E95">
        <v>2021</v>
      </c>
      <c r="F95" s="2" t="s">
        <v>6</v>
      </c>
      <c r="G95">
        <v>1</v>
      </c>
      <c r="H95" s="2" t="s">
        <v>7</v>
      </c>
      <c r="I95">
        <v>1</v>
      </c>
      <c r="J95" s="2" t="s">
        <v>15</v>
      </c>
      <c r="K95">
        <v>1</v>
      </c>
      <c r="L95" s="2" t="s">
        <v>24</v>
      </c>
      <c r="M95">
        <v>1</v>
      </c>
      <c r="N95" s="2" t="s">
        <v>40</v>
      </c>
      <c r="O95">
        <v>1</v>
      </c>
    </row>
    <row r="96" spans="1:15" x14ac:dyDescent="0.35">
      <c r="A96" s="2" t="s">
        <v>125</v>
      </c>
      <c r="B96" s="2" t="s">
        <v>56</v>
      </c>
      <c r="C96" s="2" t="s">
        <v>50</v>
      </c>
      <c r="D96" s="2" t="s">
        <v>231</v>
      </c>
      <c r="E96">
        <v>2021</v>
      </c>
      <c r="F96" s="2" t="s">
        <v>6</v>
      </c>
      <c r="G96">
        <v>1</v>
      </c>
      <c r="H96" s="2" t="s">
        <v>7</v>
      </c>
      <c r="I96">
        <v>1</v>
      </c>
      <c r="J96" s="2" t="s">
        <v>15</v>
      </c>
      <c r="K96">
        <v>1</v>
      </c>
      <c r="L96" s="2" t="s">
        <v>24</v>
      </c>
      <c r="M96">
        <v>1</v>
      </c>
      <c r="N96" s="2" t="s">
        <v>44</v>
      </c>
      <c r="O96">
        <v>1</v>
      </c>
    </row>
    <row r="97" spans="1:15" x14ac:dyDescent="0.35">
      <c r="A97" s="2" t="s">
        <v>125</v>
      </c>
      <c r="B97" s="2" t="s">
        <v>56</v>
      </c>
      <c r="C97" s="2" t="s">
        <v>50</v>
      </c>
      <c r="D97" s="2" t="s">
        <v>231</v>
      </c>
      <c r="E97">
        <v>2021</v>
      </c>
      <c r="F97" s="2" t="s">
        <v>6</v>
      </c>
      <c r="G97">
        <v>1</v>
      </c>
      <c r="H97" s="2" t="s">
        <v>7</v>
      </c>
      <c r="I97">
        <v>1</v>
      </c>
      <c r="J97" s="2" t="s">
        <v>16</v>
      </c>
      <c r="K97">
        <v>1</v>
      </c>
      <c r="L97" s="2" t="s">
        <v>24</v>
      </c>
      <c r="M97">
        <v>1</v>
      </c>
      <c r="N97" s="2" t="s">
        <v>37</v>
      </c>
      <c r="O97">
        <v>1</v>
      </c>
    </row>
    <row r="98" spans="1:15" x14ac:dyDescent="0.35">
      <c r="A98" s="2" t="s">
        <v>125</v>
      </c>
      <c r="B98" s="2" t="s">
        <v>56</v>
      </c>
      <c r="C98" s="2" t="s">
        <v>50</v>
      </c>
      <c r="D98" s="2" t="s">
        <v>231</v>
      </c>
      <c r="E98">
        <v>2021</v>
      </c>
      <c r="F98" s="2" t="s">
        <v>6</v>
      </c>
      <c r="G98">
        <v>1</v>
      </c>
      <c r="H98" s="2" t="s">
        <v>7</v>
      </c>
      <c r="I98">
        <v>1</v>
      </c>
      <c r="J98" s="2" t="s">
        <v>16</v>
      </c>
      <c r="K98">
        <v>1</v>
      </c>
      <c r="L98" s="2" t="s">
        <v>24</v>
      </c>
      <c r="M98">
        <v>1</v>
      </c>
      <c r="N98" s="2" t="s">
        <v>38</v>
      </c>
      <c r="O98">
        <v>1</v>
      </c>
    </row>
    <row r="99" spans="1:15" x14ac:dyDescent="0.35">
      <c r="A99" s="2" t="s">
        <v>125</v>
      </c>
      <c r="B99" s="2" t="s">
        <v>56</v>
      </c>
      <c r="C99" s="2" t="s">
        <v>50</v>
      </c>
      <c r="D99" s="2" t="s">
        <v>231</v>
      </c>
      <c r="E99">
        <v>2021</v>
      </c>
      <c r="F99" s="2" t="s">
        <v>6</v>
      </c>
      <c r="G99">
        <v>1</v>
      </c>
      <c r="H99" s="2" t="s">
        <v>7</v>
      </c>
      <c r="I99">
        <v>1</v>
      </c>
      <c r="J99" s="2" t="s">
        <v>16</v>
      </c>
      <c r="K99">
        <v>1</v>
      </c>
      <c r="L99" s="2" t="s">
        <v>24</v>
      </c>
      <c r="M99">
        <v>1</v>
      </c>
      <c r="N99" s="2" t="s">
        <v>40</v>
      </c>
      <c r="O99">
        <v>1</v>
      </c>
    </row>
    <row r="100" spans="1:15" x14ac:dyDescent="0.35">
      <c r="A100" s="2" t="s">
        <v>125</v>
      </c>
      <c r="B100" s="2" t="s">
        <v>56</v>
      </c>
      <c r="C100" s="2" t="s">
        <v>50</v>
      </c>
      <c r="D100" s="2" t="s">
        <v>231</v>
      </c>
      <c r="E100">
        <v>2021</v>
      </c>
      <c r="F100" s="2" t="s">
        <v>6</v>
      </c>
      <c r="G100">
        <v>1</v>
      </c>
      <c r="H100" s="2" t="s">
        <v>7</v>
      </c>
      <c r="I100">
        <v>1</v>
      </c>
      <c r="J100" s="2" t="s">
        <v>16</v>
      </c>
      <c r="K100">
        <v>1</v>
      </c>
      <c r="L100" s="2" t="s">
        <v>24</v>
      </c>
      <c r="M100">
        <v>1</v>
      </c>
      <c r="N100" s="2" t="s">
        <v>44</v>
      </c>
      <c r="O100">
        <v>1</v>
      </c>
    </row>
    <row r="101" spans="1:15" x14ac:dyDescent="0.35">
      <c r="A101" s="2" t="s">
        <v>126</v>
      </c>
      <c r="B101" s="2" t="s">
        <v>56</v>
      </c>
      <c r="C101" s="2" t="s">
        <v>50</v>
      </c>
      <c r="D101" s="2" t="s">
        <v>231</v>
      </c>
      <c r="E101">
        <v>2018</v>
      </c>
      <c r="F101" s="2" t="s">
        <v>6</v>
      </c>
      <c r="G101">
        <v>1</v>
      </c>
      <c r="H101" s="2" t="s">
        <v>7</v>
      </c>
      <c r="I101">
        <v>1</v>
      </c>
      <c r="J101" s="2" t="s">
        <v>16</v>
      </c>
      <c r="K101">
        <v>1</v>
      </c>
      <c r="L101" s="2" t="s">
        <v>24</v>
      </c>
      <c r="M101">
        <v>1</v>
      </c>
      <c r="N101" s="2" t="s">
        <v>35</v>
      </c>
      <c r="O101">
        <v>1</v>
      </c>
    </row>
    <row r="102" spans="1:15" x14ac:dyDescent="0.35">
      <c r="A102" s="2" t="s">
        <v>126</v>
      </c>
      <c r="B102" s="2" t="s">
        <v>56</v>
      </c>
      <c r="C102" s="2" t="s">
        <v>50</v>
      </c>
      <c r="D102" s="2" t="s">
        <v>231</v>
      </c>
      <c r="E102">
        <v>2018</v>
      </c>
      <c r="F102" s="2" t="s">
        <v>6</v>
      </c>
      <c r="G102">
        <v>1</v>
      </c>
      <c r="H102" s="2" t="s">
        <v>7</v>
      </c>
      <c r="I102">
        <v>1</v>
      </c>
      <c r="J102" s="2" t="s">
        <v>16</v>
      </c>
      <c r="K102">
        <v>1</v>
      </c>
      <c r="L102" s="2" t="s">
        <v>24</v>
      </c>
      <c r="M102">
        <v>1</v>
      </c>
      <c r="N102" s="2" t="s">
        <v>37</v>
      </c>
      <c r="O102">
        <v>1</v>
      </c>
    </row>
    <row r="103" spans="1:15" x14ac:dyDescent="0.35">
      <c r="A103" s="2" t="s">
        <v>126</v>
      </c>
      <c r="B103" s="2" t="s">
        <v>56</v>
      </c>
      <c r="C103" s="2" t="s">
        <v>50</v>
      </c>
      <c r="D103" s="2" t="s">
        <v>231</v>
      </c>
      <c r="E103">
        <v>2018</v>
      </c>
      <c r="F103" s="2" t="s">
        <v>6</v>
      </c>
      <c r="G103">
        <v>1</v>
      </c>
      <c r="H103" s="2" t="s">
        <v>7</v>
      </c>
      <c r="I103">
        <v>1</v>
      </c>
      <c r="J103" s="2" t="s">
        <v>16</v>
      </c>
      <c r="K103">
        <v>1</v>
      </c>
      <c r="L103" s="2" t="s">
        <v>24</v>
      </c>
      <c r="M103">
        <v>1</v>
      </c>
      <c r="N103" s="2" t="s">
        <v>38</v>
      </c>
      <c r="O103">
        <v>1</v>
      </c>
    </row>
    <row r="104" spans="1:15" x14ac:dyDescent="0.35">
      <c r="A104" s="2" t="s">
        <v>126</v>
      </c>
      <c r="B104" s="2" t="s">
        <v>56</v>
      </c>
      <c r="C104" s="2" t="s">
        <v>50</v>
      </c>
      <c r="D104" s="2" t="s">
        <v>231</v>
      </c>
      <c r="E104">
        <v>2018</v>
      </c>
      <c r="F104" s="2" t="s">
        <v>6</v>
      </c>
      <c r="G104">
        <v>1</v>
      </c>
      <c r="H104" s="2" t="s">
        <v>7</v>
      </c>
      <c r="I104">
        <v>1</v>
      </c>
      <c r="J104" s="2" t="s">
        <v>16</v>
      </c>
      <c r="K104">
        <v>1</v>
      </c>
      <c r="L104" s="2" t="s">
        <v>24</v>
      </c>
      <c r="M104">
        <v>1</v>
      </c>
      <c r="N104" s="2" t="s">
        <v>39</v>
      </c>
      <c r="O104">
        <v>1</v>
      </c>
    </row>
    <row r="105" spans="1:15" x14ac:dyDescent="0.35">
      <c r="A105" s="2" t="s">
        <v>126</v>
      </c>
      <c r="B105" s="2" t="s">
        <v>56</v>
      </c>
      <c r="C105" s="2" t="s">
        <v>50</v>
      </c>
      <c r="D105" s="2" t="s">
        <v>231</v>
      </c>
      <c r="E105">
        <v>2018</v>
      </c>
      <c r="F105" s="2" t="s">
        <v>6</v>
      </c>
      <c r="G105">
        <v>1</v>
      </c>
      <c r="H105" s="2" t="s">
        <v>7</v>
      </c>
      <c r="I105">
        <v>1</v>
      </c>
      <c r="J105" s="2" t="s">
        <v>16</v>
      </c>
      <c r="K105">
        <v>1</v>
      </c>
      <c r="L105" s="2" t="s">
        <v>24</v>
      </c>
      <c r="M105">
        <v>1</v>
      </c>
      <c r="N105" s="2" t="s">
        <v>40</v>
      </c>
      <c r="O105">
        <v>1</v>
      </c>
    </row>
    <row r="106" spans="1:15" x14ac:dyDescent="0.35">
      <c r="A106" s="2" t="s">
        <v>200</v>
      </c>
      <c r="B106" s="2" t="s">
        <v>56</v>
      </c>
      <c r="C106" s="2" t="s">
        <v>50</v>
      </c>
      <c r="D106" s="2" t="s">
        <v>231</v>
      </c>
      <c r="E106">
        <v>2021</v>
      </c>
      <c r="F106" s="2" t="s">
        <v>6</v>
      </c>
      <c r="G106">
        <v>1</v>
      </c>
      <c r="H106" s="2" t="s">
        <v>7</v>
      </c>
      <c r="I106">
        <v>1</v>
      </c>
      <c r="J106" s="2" t="s">
        <v>15</v>
      </c>
      <c r="K106">
        <v>1</v>
      </c>
      <c r="L106" s="2" t="s">
        <v>24</v>
      </c>
      <c r="M106">
        <v>1</v>
      </c>
      <c r="N106" s="2" t="s">
        <v>37</v>
      </c>
      <c r="O106">
        <v>1</v>
      </c>
    </row>
    <row r="107" spans="1:15" x14ac:dyDescent="0.35">
      <c r="A107" s="2" t="s">
        <v>200</v>
      </c>
      <c r="B107" s="2" t="s">
        <v>56</v>
      </c>
      <c r="C107" s="2" t="s">
        <v>50</v>
      </c>
      <c r="D107" s="2" t="s">
        <v>231</v>
      </c>
      <c r="E107">
        <v>2021</v>
      </c>
      <c r="F107" s="2" t="s">
        <v>6</v>
      </c>
      <c r="G107">
        <v>1</v>
      </c>
      <c r="H107" s="2" t="s">
        <v>7</v>
      </c>
      <c r="I107">
        <v>1</v>
      </c>
      <c r="J107" s="2" t="s">
        <v>15</v>
      </c>
      <c r="K107">
        <v>1</v>
      </c>
      <c r="L107" s="2" t="s">
        <v>24</v>
      </c>
      <c r="M107">
        <v>1</v>
      </c>
      <c r="N107" s="2" t="s">
        <v>38</v>
      </c>
      <c r="O107">
        <v>1</v>
      </c>
    </row>
    <row r="108" spans="1:15" x14ac:dyDescent="0.35">
      <c r="A108" s="2" t="s">
        <v>200</v>
      </c>
      <c r="B108" s="2" t="s">
        <v>56</v>
      </c>
      <c r="C108" s="2" t="s">
        <v>50</v>
      </c>
      <c r="D108" s="2" t="s">
        <v>231</v>
      </c>
      <c r="E108">
        <v>2021</v>
      </c>
      <c r="F108" s="2" t="s">
        <v>6</v>
      </c>
      <c r="G108">
        <v>1</v>
      </c>
      <c r="H108" s="2" t="s">
        <v>7</v>
      </c>
      <c r="I108">
        <v>1</v>
      </c>
      <c r="J108" s="2" t="s">
        <v>15</v>
      </c>
      <c r="K108">
        <v>1</v>
      </c>
      <c r="L108" s="2" t="s">
        <v>24</v>
      </c>
      <c r="M108">
        <v>1</v>
      </c>
      <c r="N108" s="2" t="s">
        <v>39</v>
      </c>
      <c r="O108">
        <v>1</v>
      </c>
    </row>
    <row r="109" spans="1:15" x14ac:dyDescent="0.35">
      <c r="A109" s="2" t="s">
        <v>200</v>
      </c>
      <c r="B109" s="2" t="s">
        <v>56</v>
      </c>
      <c r="C109" s="2" t="s">
        <v>50</v>
      </c>
      <c r="D109" s="2" t="s">
        <v>231</v>
      </c>
      <c r="E109">
        <v>2021</v>
      </c>
      <c r="F109" s="2" t="s">
        <v>6</v>
      </c>
      <c r="G109">
        <v>1</v>
      </c>
      <c r="H109" s="2" t="s">
        <v>7</v>
      </c>
      <c r="I109">
        <v>1</v>
      </c>
      <c r="J109" s="2" t="s">
        <v>15</v>
      </c>
      <c r="K109">
        <v>1</v>
      </c>
      <c r="L109" s="2" t="s">
        <v>24</v>
      </c>
      <c r="M109">
        <v>1</v>
      </c>
      <c r="N109" s="2" t="s">
        <v>40</v>
      </c>
      <c r="O109">
        <v>1</v>
      </c>
    </row>
    <row r="110" spans="1:15" x14ac:dyDescent="0.35">
      <c r="A110" s="2" t="s">
        <v>200</v>
      </c>
      <c r="B110" s="2" t="s">
        <v>56</v>
      </c>
      <c r="C110" s="2" t="s">
        <v>50</v>
      </c>
      <c r="D110" s="2" t="s">
        <v>231</v>
      </c>
      <c r="E110">
        <v>2021</v>
      </c>
      <c r="F110" s="2" t="s">
        <v>6</v>
      </c>
      <c r="G110">
        <v>1</v>
      </c>
      <c r="H110" s="2" t="s">
        <v>7</v>
      </c>
      <c r="I110">
        <v>1</v>
      </c>
      <c r="J110" s="2" t="s">
        <v>15</v>
      </c>
      <c r="K110">
        <v>1</v>
      </c>
      <c r="L110" s="2" t="s">
        <v>24</v>
      </c>
      <c r="M110">
        <v>1</v>
      </c>
      <c r="N110" s="2" t="s">
        <v>46</v>
      </c>
      <c r="O110">
        <v>1</v>
      </c>
    </row>
    <row r="111" spans="1:15" x14ac:dyDescent="0.35">
      <c r="A111" s="2" t="s">
        <v>200</v>
      </c>
      <c r="B111" s="2" t="s">
        <v>56</v>
      </c>
      <c r="C111" s="2" t="s">
        <v>50</v>
      </c>
      <c r="D111" s="2" t="s">
        <v>231</v>
      </c>
      <c r="E111">
        <v>2021</v>
      </c>
      <c r="F111" s="2" t="s">
        <v>6</v>
      </c>
      <c r="G111">
        <v>1</v>
      </c>
      <c r="H111" s="2" t="s">
        <v>7</v>
      </c>
      <c r="I111">
        <v>1</v>
      </c>
      <c r="J111" s="2" t="s">
        <v>16</v>
      </c>
      <c r="K111">
        <v>1</v>
      </c>
      <c r="L111" s="2" t="s">
        <v>24</v>
      </c>
      <c r="M111">
        <v>1</v>
      </c>
      <c r="N111" s="2" t="s">
        <v>37</v>
      </c>
      <c r="O111">
        <v>1</v>
      </c>
    </row>
    <row r="112" spans="1:15" x14ac:dyDescent="0.35">
      <c r="A112" s="2" t="s">
        <v>200</v>
      </c>
      <c r="B112" s="2" t="s">
        <v>56</v>
      </c>
      <c r="C112" s="2" t="s">
        <v>50</v>
      </c>
      <c r="D112" s="2" t="s">
        <v>231</v>
      </c>
      <c r="E112">
        <v>2021</v>
      </c>
      <c r="F112" s="2" t="s">
        <v>6</v>
      </c>
      <c r="G112">
        <v>1</v>
      </c>
      <c r="H112" s="2" t="s">
        <v>7</v>
      </c>
      <c r="I112">
        <v>1</v>
      </c>
      <c r="J112" s="2" t="s">
        <v>16</v>
      </c>
      <c r="K112">
        <v>1</v>
      </c>
      <c r="L112" s="2" t="s">
        <v>24</v>
      </c>
      <c r="M112">
        <v>1</v>
      </c>
      <c r="N112" s="2" t="s">
        <v>38</v>
      </c>
      <c r="O112">
        <v>1</v>
      </c>
    </row>
    <row r="113" spans="1:15" x14ac:dyDescent="0.35">
      <c r="A113" s="2" t="s">
        <v>200</v>
      </c>
      <c r="B113" s="2" t="s">
        <v>56</v>
      </c>
      <c r="C113" s="2" t="s">
        <v>50</v>
      </c>
      <c r="D113" s="2" t="s">
        <v>231</v>
      </c>
      <c r="E113">
        <v>2021</v>
      </c>
      <c r="F113" s="2" t="s">
        <v>6</v>
      </c>
      <c r="G113">
        <v>1</v>
      </c>
      <c r="H113" s="2" t="s">
        <v>7</v>
      </c>
      <c r="I113">
        <v>1</v>
      </c>
      <c r="J113" s="2" t="s">
        <v>16</v>
      </c>
      <c r="K113">
        <v>1</v>
      </c>
      <c r="L113" s="2" t="s">
        <v>24</v>
      </c>
      <c r="M113">
        <v>1</v>
      </c>
      <c r="N113" s="2" t="s">
        <v>39</v>
      </c>
      <c r="O113">
        <v>1</v>
      </c>
    </row>
    <row r="114" spans="1:15" x14ac:dyDescent="0.35">
      <c r="A114" s="2" t="s">
        <v>200</v>
      </c>
      <c r="B114" s="2" t="s">
        <v>56</v>
      </c>
      <c r="C114" s="2" t="s">
        <v>50</v>
      </c>
      <c r="D114" s="2" t="s">
        <v>231</v>
      </c>
      <c r="E114">
        <v>2021</v>
      </c>
      <c r="F114" s="2" t="s">
        <v>6</v>
      </c>
      <c r="G114">
        <v>1</v>
      </c>
      <c r="H114" s="2" t="s">
        <v>7</v>
      </c>
      <c r="I114">
        <v>1</v>
      </c>
      <c r="J114" s="2" t="s">
        <v>16</v>
      </c>
      <c r="K114">
        <v>1</v>
      </c>
      <c r="L114" s="2" t="s">
        <v>24</v>
      </c>
      <c r="M114">
        <v>1</v>
      </c>
      <c r="N114" s="2" t="s">
        <v>40</v>
      </c>
      <c r="O114">
        <v>1</v>
      </c>
    </row>
    <row r="115" spans="1:15" x14ac:dyDescent="0.35">
      <c r="A115" s="2" t="s">
        <v>200</v>
      </c>
      <c r="B115" s="2" t="s">
        <v>56</v>
      </c>
      <c r="C115" s="2" t="s">
        <v>50</v>
      </c>
      <c r="D115" s="2" t="s">
        <v>231</v>
      </c>
      <c r="E115">
        <v>2021</v>
      </c>
      <c r="F115" s="2" t="s">
        <v>6</v>
      </c>
      <c r="G115">
        <v>1</v>
      </c>
      <c r="H115" s="2" t="s">
        <v>7</v>
      </c>
      <c r="I115">
        <v>1</v>
      </c>
      <c r="J115" s="2" t="s">
        <v>16</v>
      </c>
      <c r="K115">
        <v>1</v>
      </c>
      <c r="L115" s="2" t="s">
        <v>24</v>
      </c>
      <c r="M115">
        <v>1</v>
      </c>
      <c r="N115" s="2" t="s">
        <v>46</v>
      </c>
      <c r="O115">
        <v>1</v>
      </c>
    </row>
    <row r="116" spans="1:15" x14ac:dyDescent="0.35">
      <c r="A116" s="2" t="s">
        <v>139</v>
      </c>
      <c r="B116" s="2" t="s">
        <v>56</v>
      </c>
      <c r="C116" s="2" t="s">
        <v>50</v>
      </c>
      <c r="D116" s="2" t="s">
        <v>231</v>
      </c>
      <c r="E116">
        <v>2018</v>
      </c>
      <c r="F116" s="2" t="s">
        <v>6</v>
      </c>
      <c r="G116">
        <v>1</v>
      </c>
      <c r="H116" s="2" t="s">
        <v>7</v>
      </c>
      <c r="I116">
        <v>1</v>
      </c>
      <c r="J116" s="2" t="s">
        <v>16</v>
      </c>
      <c r="K116">
        <v>1</v>
      </c>
      <c r="L116" s="2" t="s">
        <v>24</v>
      </c>
      <c r="M116">
        <v>1</v>
      </c>
      <c r="N116" s="2" t="s">
        <v>37</v>
      </c>
      <c r="O116">
        <v>1</v>
      </c>
    </row>
    <row r="117" spans="1:15" x14ac:dyDescent="0.35">
      <c r="A117" s="2" t="s">
        <v>139</v>
      </c>
      <c r="B117" s="2" t="s">
        <v>56</v>
      </c>
      <c r="C117" s="2" t="s">
        <v>50</v>
      </c>
      <c r="D117" s="2" t="s">
        <v>231</v>
      </c>
      <c r="E117">
        <v>2018</v>
      </c>
      <c r="F117" s="2" t="s">
        <v>6</v>
      </c>
      <c r="G117">
        <v>1</v>
      </c>
      <c r="H117" s="2" t="s">
        <v>7</v>
      </c>
      <c r="I117">
        <v>1</v>
      </c>
      <c r="J117" s="2" t="s">
        <v>16</v>
      </c>
      <c r="K117">
        <v>1</v>
      </c>
      <c r="L117" s="2" t="s">
        <v>24</v>
      </c>
      <c r="M117">
        <v>1</v>
      </c>
      <c r="N117" s="2" t="s">
        <v>38</v>
      </c>
      <c r="O117">
        <v>1</v>
      </c>
    </row>
    <row r="118" spans="1:15" x14ac:dyDescent="0.35">
      <c r="A118" s="2" t="s">
        <v>139</v>
      </c>
      <c r="B118" s="2" t="s">
        <v>56</v>
      </c>
      <c r="C118" s="2" t="s">
        <v>50</v>
      </c>
      <c r="D118" s="2" t="s">
        <v>231</v>
      </c>
      <c r="E118">
        <v>2018</v>
      </c>
      <c r="F118" s="2" t="s">
        <v>6</v>
      </c>
      <c r="G118">
        <v>1</v>
      </c>
      <c r="H118" s="2" t="s">
        <v>7</v>
      </c>
      <c r="I118">
        <v>1</v>
      </c>
      <c r="J118" s="2" t="s">
        <v>16</v>
      </c>
      <c r="K118">
        <v>1</v>
      </c>
      <c r="L118" s="2" t="s">
        <v>24</v>
      </c>
      <c r="M118">
        <v>1</v>
      </c>
      <c r="N118" s="2" t="s">
        <v>40</v>
      </c>
      <c r="O118">
        <v>1</v>
      </c>
    </row>
    <row r="119" spans="1:15" x14ac:dyDescent="0.35">
      <c r="A119" s="2" t="s">
        <v>139</v>
      </c>
      <c r="B119" s="2" t="s">
        <v>56</v>
      </c>
      <c r="C119" s="2" t="s">
        <v>50</v>
      </c>
      <c r="D119" s="2" t="s">
        <v>231</v>
      </c>
      <c r="E119">
        <v>2018</v>
      </c>
      <c r="F119" s="2" t="s">
        <v>6</v>
      </c>
      <c r="G119">
        <v>1</v>
      </c>
      <c r="H119" s="2" t="s">
        <v>7</v>
      </c>
      <c r="I119">
        <v>1</v>
      </c>
      <c r="J119" s="2" t="s">
        <v>16</v>
      </c>
      <c r="K119">
        <v>1</v>
      </c>
      <c r="L119" s="2" t="s">
        <v>24</v>
      </c>
      <c r="M119">
        <v>1</v>
      </c>
      <c r="N119" s="2" t="s">
        <v>44</v>
      </c>
      <c r="O119">
        <v>1</v>
      </c>
    </row>
    <row r="120" spans="1:15" x14ac:dyDescent="0.35">
      <c r="A120" s="2" t="s">
        <v>139</v>
      </c>
      <c r="B120" s="2" t="s">
        <v>56</v>
      </c>
      <c r="C120" s="2" t="s">
        <v>50</v>
      </c>
      <c r="D120" s="2" t="s">
        <v>231</v>
      </c>
      <c r="E120">
        <v>2018</v>
      </c>
      <c r="F120" s="2" t="s">
        <v>6</v>
      </c>
      <c r="G120">
        <v>1</v>
      </c>
      <c r="H120" s="2" t="s">
        <v>7</v>
      </c>
      <c r="I120">
        <v>1</v>
      </c>
      <c r="J120" s="2" t="s">
        <v>17</v>
      </c>
      <c r="K120">
        <v>1</v>
      </c>
      <c r="L120" s="2" t="s">
        <v>24</v>
      </c>
      <c r="M120">
        <v>1</v>
      </c>
      <c r="N120" s="2" t="s">
        <v>37</v>
      </c>
      <c r="O120">
        <v>1</v>
      </c>
    </row>
    <row r="121" spans="1:15" x14ac:dyDescent="0.35">
      <c r="A121" s="2" t="s">
        <v>139</v>
      </c>
      <c r="B121" s="2" t="s">
        <v>56</v>
      </c>
      <c r="C121" s="2" t="s">
        <v>50</v>
      </c>
      <c r="D121" s="2" t="s">
        <v>231</v>
      </c>
      <c r="E121">
        <v>2018</v>
      </c>
      <c r="F121" s="2" t="s">
        <v>6</v>
      </c>
      <c r="G121">
        <v>1</v>
      </c>
      <c r="H121" s="2" t="s">
        <v>7</v>
      </c>
      <c r="I121">
        <v>1</v>
      </c>
      <c r="J121" s="2" t="s">
        <v>17</v>
      </c>
      <c r="K121">
        <v>1</v>
      </c>
      <c r="L121" s="2" t="s">
        <v>24</v>
      </c>
      <c r="M121">
        <v>1</v>
      </c>
      <c r="N121" s="2" t="s">
        <v>38</v>
      </c>
      <c r="O121">
        <v>1</v>
      </c>
    </row>
    <row r="122" spans="1:15" x14ac:dyDescent="0.35">
      <c r="A122" s="2" t="s">
        <v>139</v>
      </c>
      <c r="B122" s="2" t="s">
        <v>56</v>
      </c>
      <c r="C122" s="2" t="s">
        <v>50</v>
      </c>
      <c r="D122" s="2" t="s">
        <v>231</v>
      </c>
      <c r="E122">
        <v>2018</v>
      </c>
      <c r="F122" s="2" t="s">
        <v>6</v>
      </c>
      <c r="G122">
        <v>1</v>
      </c>
      <c r="H122" s="2" t="s">
        <v>7</v>
      </c>
      <c r="I122">
        <v>1</v>
      </c>
      <c r="J122" s="2" t="s">
        <v>17</v>
      </c>
      <c r="K122">
        <v>1</v>
      </c>
      <c r="L122" s="2" t="s">
        <v>24</v>
      </c>
      <c r="M122">
        <v>1</v>
      </c>
      <c r="N122" s="2" t="s">
        <v>40</v>
      </c>
      <c r="O122">
        <v>1</v>
      </c>
    </row>
    <row r="123" spans="1:15" x14ac:dyDescent="0.35">
      <c r="A123" s="2" t="s">
        <v>139</v>
      </c>
      <c r="B123" s="2" t="s">
        <v>56</v>
      </c>
      <c r="C123" s="2" t="s">
        <v>50</v>
      </c>
      <c r="D123" s="2" t="s">
        <v>231</v>
      </c>
      <c r="E123">
        <v>2018</v>
      </c>
      <c r="F123" s="2" t="s">
        <v>6</v>
      </c>
      <c r="G123">
        <v>1</v>
      </c>
      <c r="H123" s="2" t="s">
        <v>7</v>
      </c>
      <c r="I123">
        <v>1</v>
      </c>
      <c r="J123" s="2" t="s">
        <v>17</v>
      </c>
      <c r="K123">
        <v>1</v>
      </c>
      <c r="L123" s="2" t="s">
        <v>24</v>
      </c>
      <c r="M123">
        <v>1</v>
      </c>
      <c r="N123" s="2" t="s">
        <v>44</v>
      </c>
      <c r="O123">
        <v>1</v>
      </c>
    </row>
    <row r="124" spans="1:15" x14ac:dyDescent="0.35">
      <c r="A124" s="2" t="s">
        <v>152</v>
      </c>
      <c r="B124" s="2" t="s">
        <v>56</v>
      </c>
      <c r="C124" s="2" t="s">
        <v>50</v>
      </c>
      <c r="D124" s="2" t="s">
        <v>231</v>
      </c>
      <c r="E124">
        <v>2015</v>
      </c>
      <c r="F124" s="2" t="s">
        <v>6</v>
      </c>
      <c r="G124">
        <v>1</v>
      </c>
      <c r="H124" s="2" t="s">
        <v>7</v>
      </c>
      <c r="I124">
        <v>1</v>
      </c>
      <c r="J124" s="2" t="s">
        <v>16</v>
      </c>
      <c r="K124">
        <v>1</v>
      </c>
      <c r="L124" s="2" t="s">
        <v>24</v>
      </c>
      <c r="M124">
        <v>1</v>
      </c>
      <c r="N124" s="2" t="s">
        <v>35</v>
      </c>
      <c r="O124">
        <v>1</v>
      </c>
    </row>
    <row r="125" spans="1:15" x14ac:dyDescent="0.35">
      <c r="A125" s="2" t="s">
        <v>152</v>
      </c>
      <c r="B125" s="2" t="s">
        <v>56</v>
      </c>
      <c r="C125" s="2" t="s">
        <v>50</v>
      </c>
      <c r="D125" s="2" t="s">
        <v>231</v>
      </c>
      <c r="E125">
        <v>2015</v>
      </c>
      <c r="F125" s="2" t="s">
        <v>6</v>
      </c>
      <c r="G125">
        <v>1</v>
      </c>
      <c r="H125" s="2" t="s">
        <v>7</v>
      </c>
      <c r="I125">
        <v>1</v>
      </c>
      <c r="J125" s="2" t="s">
        <v>16</v>
      </c>
      <c r="K125">
        <v>1</v>
      </c>
      <c r="L125" s="2" t="s">
        <v>24</v>
      </c>
      <c r="M125">
        <v>1</v>
      </c>
      <c r="N125" s="2" t="s">
        <v>37</v>
      </c>
      <c r="O125">
        <v>1</v>
      </c>
    </row>
    <row r="126" spans="1:15" x14ac:dyDescent="0.35">
      <c r="A126" s="2" t="s">
        <v>152</v>
      </c>
      <c r="B126" s="2" t="s">
        <v>56</v>
      </c>
      <c r="C126" s="2" t="s">
        <v>50</v>
      </c>
      <c r="D126" s="2" t="s">
        <v>231</v>
      </c>
      <c r="E126">
        <v>2015</v>
      </c>
      <c r="F126" s="2" t="s">
        <v>6</v>
      </c>
      <c r="G126">
        <v>1</v>
      </c>
      <c r="H126" s="2" t="s">
        <v>7</v>
      </c>
      <c r="I126">
        <v>1</v>
      </c>
      <c r="J126" s="2" t="s">
        <v>16</v>
      </c>
      <c r="K126">
        <v>1</v>
      </c>
      <c r="L126" s="2" t="s">
        <v>24</v>
      </c>
      <c r="M126">
        <v>1</v>
      </c>
      <c r="N126" s="2" t="s">
        <v>38</v>
      </c>
      <c r="O126">
        <v>1</v>
      </c>
    </row>
    <row r="127" spans="1:15" x14ac:dyDescent="0.35">
      <c r="A127" s="2" t="s">
        <v>152</v>
      </c>
      <c r="B127" s="2" t="s">
        <v>56</v>
      </c>
      <c r="C127" s="2" t="s">
        <v>50</v>
      </c>
      <c r="D127" s="2" t="s">
        <v>231</v>
      </c>
      <c r="E127">
        <v>2015</v>
      </c>
      <c r="F127" s="2" t="s">
        <v>6</v>
      </c>
      <c r="G127">
        <v>1</v>
      </c>
      <c r="H127" s="2" t="s">
        <v>7</v>
      </c>
      <c r="I127">
        <v>1</v>
      </c>
      <c r="J127" s="2" t="s">
        <v>16</v>
      </c>
      <c r="K127">
        <v>1</v>
      </c>
      <c r="L127" s="2" t="s">
        <v>24</v>
      </c>
      <c r="M127">
        <v>1</v>
      </c>
      <c r="N127" s="2" t="s">
        <v>39</v>
      </c>
      <c r="O127">
        <v>1</v>
      </c>
    </row>
    <row r="128" spans="1:15" x14ac:dyDescent="0.35">
      <c r="A128" s="2" t="s">
        <v>152</v>
      </c>
      <c r="B128" s="2" t="s">
        <v>56</v>
      </c>
      <c r="C128" s="2" t="s">
        <v>50</v>
      </c>
      <c r="D128" s="2" t="s">
        <v>231</v>
      </c>
      <c r="E128">
        <v>2015</v>
      </c>
      <c r="F128" s="2" t="s">
        <v>6</v>
      </c>
      <c r="G128">
        <v>1</v>
      </c>
      <c r="H128" s="2" t="s">
        <v>7</v>
      </c>
      <c r="I128">
        <v>1</v>
      </c>
      <c r="J128" s="2" t="s">
        <v>16</v>
      </c>
      <c r="K128">
        <v>1</v>
      </c>
      <c r="L128" s="2" t="s">
        <v>24</v>
      </c>
      <c r="M128">
        <v>1</v>
      </c>
      <c r="N128" s="2" t="s">
        <v>40</v>
      </c>
      <c r="O128">
        <v>1</v>
      </c>
    </row>
    <row r="129" spans="1:15" x14ac:dyDescent="0.35">
      <c r="A129" s="2" t="s">
        <v>152</v>
      </c>
      <c r="B129" s="2" t="s">
        <v>56</v>
      </c>
      <c r="C129" s="2" t="s">
        <v>50</v>
      </c>
      <c r="D129" s="2" t="s">
        <v>231</v>
      </c>
      <c r="E129">
        <v>2015</v>
      </c>
      <c r="F129" s="2" t="s">
        <v>6</v>
      </c>
      <c r="G129">
        <v>1</v>
      </c>
      <c r="H129" s="2" t="s">
        <v>7</v>
      </c>
      <c r="I129">
        <v>1</v>
      </c>
      <c r="J129" s="2" t="s">
        <v>16</v>
      </c>
      <c r="K129">
        <v>1</v>
      </c>
      <c r="L129" s="2" t="s">
        <v>24</v>
      </c>
      <c r="M129">
        <v>1</v>
      </c>
      <c r="N129" s="2" t="s">
        <v>44</v>
      </c>
      <c r="O129">
        <v>1</v>
      </c>
    </row>
    <row r="130" spans="1:15" x14ac:dyDescent="0.35">
      <c r="A130" s="2" t="s">
        <v>160</v>
      </c>
      <c r="B130" s="2" t="s">
        <v>56</v>
      </c>
      <c r="C130" s="2" t="s">
        <v>50</v>
      </c>
      <c r="D130" s="2" t="s">
        <v>231</v>
      </c>
      <c r="E130">
        <v>2018</v>
      </c>
      <c r="F130" s="2" t="s">
        <v>6</v>
      </c>
      <c r="G130">
        <v>1</v>
      </c>
      <c r="H130" s="2" t="s">
        <v>7</v>
      </c>
      <c r="I130">
        <v>1</v>
      </c>
      <c r="J130" s="2" t="s">
        <v>16</v>
      </c>
      <c r="K130">
        <v>1</v>
      </c>
      <c r="L130" s="2" t="s">
        <v>24</v>
      </c>
      <c r="M130">
        <v>1</v>
      </c>
      <c r="N130" s="2" t="s">
        <v>34</v>
      </c>
      <c r="O130">
        <v>1</v>
      </c>
    </row>
    <row r="131" spans="1:15" x14ac:dyDescent="0.35">
      <c r="A131" s="2" t="s">
        <v>160</v>
      </c>
      <c r="B131" s="2" t="s">
        <v>56</v>
      </c>
      <c r="C131" s="2" t="s">
        <v>50</v>
      </c>
      <c r="D131" s="2" t="s">
        <v>231</v>
      </c>
      <c r="E131">
        <v>2018</v>
      </c>
      <c r="F131" s="2" t="s">
        <v>6</v>
      </c>
      <c r="G131">
        <v>1</v>
      </c>
      <c r="H131" s="2" t="s">
        <v>7</v>
      </c>
      <c r="I131">
        <v>1</v>
      </c>
      <c r="J131" s="2" t="s">
        <v>16</v>
      </c>
      <c r="K131">
        <v>1</v>
      </c>
      <c r="L131" s="2" t="s">
        <v>24</v>
      </c>
      <c r="M131">
        <v>1</v>
      </c>
      <c r="N131" s="2" t="s">
        <v>35</v>
      </c>
      <c r="O131">
        <v>1</v>
      </c>
    </row>
    <row r="132" spans="1:15" x14ac:dyDescent="0.35">
      <c r="A132" s="2" t="s">
        <v>160</v>
      </c>
      <c r="B132" s="2" t="s">
        <v>56</v>
      </c>
      <c r="C132" s="2" t="s">
        <v>50</v>
      </c>
      <c r="D132" s="2" t="s">
        <v>231</v>
      </c>
      <c r="E132">
        <v>2018</v>
      </c>
      <c r="F132" s="2" t="s">
        <v>6</v>
      </c>
      <c r="G132">
        <v>1</v>
      </c>
      <c r="H132" s="2" t="s">
        <v>7</v>
      </c>
      <c r="I132">
        <v>1</v>
      </c>
      <c r="J132" s="2" t="s">
        <v>16</v>
      </c>
      <c r="K132">
        <v>1</v>
      </c>
      <c r="L132" s="2" t="s">
        <v>24</v>
      </c>
      <c r="M132">
        <v>1</v>
      </c>
      <c r="N132" s="2" t="s">
        <v>36</v>
      </c>
      <c r="O132">
        <v>1</v>
      </c>
    </row>
    <row r="133" spans="1:15" x14ac:dyDescent="0.35">
      <c r="A133" s="2" t="s">
        <v>160</v>
      </c>
      <c r="B133" s="2" t="s">
        <v>56</v>
      </c>
      <c r="C133" s="2" t="s">
        <v>50</v>
      </c>
      <c r="D133" s="2" t="s">
        <v>231</v>
      </c>
      <c r="E133">
        <v>2018</v>
      </c>
      <c r="F133" s="2" t="s">
        <v>6</v>
      </c>
      <c r="G133">
        <v>1</v>
      </c>
      <c r="H133" s="2" t="s">
        <v>7</v>
      </c>
      <c r="I133">
        <v>1</v>
      </c>
      <c r="J133" s="2" t="s">
        <v>16</v>
      </c>
      <c r="K133">
        <v>1</v>
      </c>
      <c r="L133" s="2" t="s">
        <v>24</v>
      </c>
      <c r="M133">
        <v>1</v>
      </c>
      <c r="N133" s="2" t="s">
        <v>38</v>
      </c>
      <c r="O133">
        <v>1</v>
      </c>
    </row>
    <row r="134" spans="1:15" x14ac:dyDescent="0.35">
      <c r="A134" s="2" t="s">
        <v>160</v>
      </c>
      <c r="B134" s="2" t="s">
        <v>56</v>
      </c>
      <c r="C134" s="2" t="s">
        <v>50</v>
      </c>
      <c r="D134" s="2" t="s">
        <v>231</v>
      </c>
      <c r="E134">
        <v>2018</v>
      </c>
      <c r="F134" s="2" t="s">
        <v>6</v>
      </c>
      <c r="G134">
        <v>1</v>
      </c>
      <c r="H134" s="2" t="s">
        <v>7</v>
      </c>
      <c r="I134">
        <v>1</v>
      </c>
      <c r="J134" s="2" t="s">
        <v>16</v>
      </c>
      <c r="K134">
        <v>1</v>
      </c>
      <c r="L134" s="2" t="s">
        <v>24</v>
      </c>
      <c r="M134">
        <v>1</v>
      </c>
      <c r="N134" s="2" t="s">
        <v>45</v>
      </c>
      <c r="O134">
        <v>1</v>
      </c>
    </row>
    <row r="135" spans="1:15" x14ac:dyDescent="0.35">
      <c r="A135" s="2" t="s">
        <v>180</v>
      </c>
      <c r="B135" s="2" t="s">
        <v>56</v>
      </c>
      <c r="C135" s="2" t="s">
        <v>50</v>
      </c>
      <c r="D135" s="2" t="s">
        <v>231</v>
      </c>
      <c r="E135">
        <v>2017</v>
      </c>
      <c r="F135" s="2" t="s">
        <v>6</v>
      </c>
      <c r="G135">
        <v>1</v>
      </c>
      <c r="H135" s="2" t="s">
        <v>7</v>
      </c>
      <c r="I135">
        <v>1</v>
      </c>
      <c r="J135" s="2" t="s">
        <v>16</v>
      </c>
      <c r="K135">
        <v>1</v>
      </c>
      <c r="L135" s="2" t="s">
        <v>24</v>
      </c>
      <c r="M135">
        <v>1</v>
      </c>
      <c r="N135" s="2" t="s">
        <v>37</v>
      </c>
      <c r="O135">
        <v>1</v>
      </c>
    </row>
    <row r="136" spans="1:15" x14ac:dyDescent="0.35">
      <c r="A136" s="2" t="s">
        <v>180</v>
      </c>
      <c r="B136" s="2" t="s">
        <v>56</v>
      </c>
      <c r="C136" s="2" t="s">
        <v>50</v>
      </c>
      <c r="D136" s="2" t="s">
        <v>231</v>
      </c>
      <c r="E136">
        <v>2017</v>
      </c>
      <c r="F136" s="2" t="s">
        <v>6</v>
      </c>
      <c r="G136">
        <v>1</v>
      </c>
      <c r="H136" s="2" t="s">
        <v>7</v>
      </c>
      <c r="I136">
        <v>1</v>
      </c>
      <c r="J136" s="2" t="s">
        <v>16</v>
      </c>
      <c r="K136">
        <v>1</v>
      </c>
      <c r="L136" s="2" t="s">
        <v>24</v>
      </c>
      <c r="M136">
        <v>1</v>
      </c>
      <c r="N136" s="2" t="s">
        <v>38</v>
      </c>
      <c r="O136">
        <v>1</v>
      </c>
    </row>
    <row r="137" spans="1:15" x14ac:dyDescent="0.35">
      <c r="A137" s="2" t="s">
        <v>180</v>
      </c>
      <c r="B137" s="2" t="s">
        <v>56</v>
      </c>
      <c r="C137" s="2" t="s">
        <v>50</v>
      </c>
      <c r="D137" s="2" t="s">
        <v>231</v>
      </c>
      <c r="E137">
        <v>2017</v>
      </c>
      <c r="F137" s="2" t="s">
        <v>6</v>
      </c>
      <c r="G137">
        <v>1</v>
      </c>
      <c r="H137" s="2" t="s">
        <v>7</v>
      </c>
      <c r="I137">
        <v>1</v>
      </c>
      <c r="J137" s="2" t="s">
        <v>16</v>
      </c>
      <c r="K137">
        <v>1</v>
      </c>
      <c r="L137" s="2" t="s">
        <v>24</v>
      </c>
      <c r="M137">
        <v>1</v>
      </c>
      <c r="N137" s="2" t="s">
        <v>40</v>
      </c>
      <c r="O137">
        <v>1</v>
      </c>
    </row>
    <row r="138" spans="1:15" x14ac:dyDescent="0.35">
      <c r="A138" s="2" t="s">
        <v>186</v>
      </c>
      <c r="B138" s="2" t="s">
        <v>56</v>
      </c>
      <c r="C138" s="2" t="s">
        <v>50</v>
      </c>
      <c r="D138" s="2" t="s">
        <v>231</v>
      </c>
      <c r="E138">
        <v>2021</v>
      </c>
      <c r="F138" s="2" t="s">
        <v>6</v>
      </c>
      <c r="G138">
        <v>1</v>
      </c>
      <c r="H138" s="2" t="s">
        <v>7</v>
      </c>
      <c r="I138">
        <v>1</v>
      </c>
      <c r="J138" s="2" t="s">
        <v>15</v>
      </c>
      <c r="K138">
        <v>1</v>
      </c>
      <c r="L138" s="2" t="s">
        <v>24</v>
      </c>
      <c r="M138">
        <v>1</v>
      </c>
      <c r="N138" s="2" t="s">
        <v>33</v>
      </c>
      <c r="O138">
        <v>1</v>
      </c>
    </row>
    <row r="139" spans="1:15" x14ac:dyDescent="0.35">
      <c r="A139" s="2" t="s">
        <v>186</v>
      </c>
      <c r="B139" s="2" t="s">
        <v>56</v>
      </c>
      <c r="C139" s="2" t="s">
        <v>50</v>
      </c>
      <c r="D139" s="2" t="s">
        <v>231</v>
      </c>
      <c r="E139">
        <v>2021</v>
      </c>
      <c r="F139" s="2" t="s">
        <v>6</v>
      </c>
      <c r="G139">
        <v>1</v>
      </c>
      <c r="H139" s="2" t="s">
        <v>7</v>
      </c>
      <c r="I139">
        <v>1</v>
      </c>
      <c r="J139" s="2" t="s">
        <v>15</v>
      </c>
      <c r="K139">
        <v>1</v>
      </c>
      <c r="L139" s="2" t="s">
        <v>24</v>
      </c>
      <c r="M139">
        <v>1</v>
      </c>
      <c r="N139" s="2" t="s">
        <v>37</v>
      </c>
      <c r="O139">
        <v>1</v>
      </c>
    </row>
    <row r="140" spans="1:15" x14ac:dyDescent="0.35">
      <c r="A140" s="2" t="s">
        <v>186</v>
      </c>
      <c r="B140" s="2" t="s">
        <v>56</v>
      </c>
      <c r="C140" s="2" t="s">
        <v>50</v>
      </c>
      <c r="D140" s="2" t="s">
        <v>231</v>
      </c>
      <c r="E140">
        <v>2021</v>
      </c>
      <c r="F140" s="2" t="s">
        <v>6</v>
      </c>
      <c r="G140">
        <v>1</v>
      </c>
      <c r="H140" s="2" t="s">
        <v>7</v>
      </c>
      <c r="I140">
        <v>1</v>
      </c>
      <c r="J140" s="2" t="s">
        <v>15</v>
      </c>
      <c r="K140">
        <v>1</v>
      </c>
      <c r="L140" s="2" t="s">
        <v>24</v>
      </c>
      <c r="M140">
        <v>1</v>
      </c>
      <c r="N140" s="2" t="s">
        <v>38</v>
      </c>
      <c r="O140">
        <v>1</v>
      </c>
    </row>
    <row r="141" spans="1:15" x14ac:dyDescent="0.35">
      <c r="A141" s="2" t="s">
        <v>186</v>
      </c>
      <c r="B141" s="2" t="s">
        <v>56</v>
      </c>
      <c r="C141" s="2" t="s">
        <v>50</v>
      </c>
      <c r="D141" s="2" t="s">
        <v>231</v>
      </c>
      <c r="E141">
        <v>2021</v>
      </c>
      <c r="F141" s="2" t="s">
        <v>6</v>
      </c>
      <c r="G141">
        <v>1</v>
      </c>
      <c r="H141" s="2" t="s">
        <v>7</v>
      </c>
      <c r="I141">
        <v>1</v>
      </c>
      <c r="J141" s="2" t="s">
        <v>15</v>
      </c>
      <c r="K141">
        <v>1</v>
      </c>
      <c r="L141" s="2" t="s">
        <v>24</v>
      </c>
      <c r="M141">
        <v>1</v>
      </c>
      <c r="N141" s="2" t="s">
        <v>46</v>
      </c>
      <c r="O141">
        <v>1</v>
      </c>
    </row>
    <row r="142" spans="1:15" x14ac:dyDescent="0.35">
      <c r="A142" s="2" t="s">
        <v>186</v>
      </c>
      <c r="B142" s="2" t="s">
        <v>56</v>
      </c>
      <c r="C142" s="2" t="s">
        <v>50</v>
      </c>
      <c r="D142" s="2" t="s">
        <v>231</v>
      </c>
      <c r="E142">
        <v>2021</v>
      </c>
      <c r="F142" s="2" t="s">
        <v>6</v>
      </c>
      <c r="G142">
        <v>1</v>
      </c>
      <c r="H142" s="2" t="s">
        <v>7</v>
      </c>
      <c r="I142">
        <v>1</v>
      </c>
      <c r="J142" s="2" t="s">
        <v>16</v>
      </c>
      <c r="K142">
        <v>1</v>
      </c>
      <c r="L142" s="2" t="s">
        <v>24</v>
      </c>
      <c r="M142">
        <v>1</v>
      </c>
      <c r="N142" s="2" t="s">
        <v>33</v>
      </c>
      <c r="O142">
        <v>1</v>
      </c>
    </row>
    <row r="143" spans="1:15" x14ac:dyDescent="0.35">
      <c r="A143" s="2" t="s">
        <v>186</v>
      </c>
      <c r="B143" s="2" t="s">
        <v>56</v>
      </c>
      <c r="C143" s="2" t="s">
        <v>50</v>
      </c>
      <c r="D143" s="2" t="s">
        <v>231</v>
      </c>
      <c r="E143">
        <v>2021</v>
      </c>
      <c r="F143" s="2" t="s">
        <v>6</v>
      </c>
      <c r="G143">
        <v>1</v>
      </c>
      <c r="H143" s="2" t="s">
        <v>7</v>
      </c>
      <c r="I143">
        <v>1</v>
      </c>
      <c r="J143" s="2" t="s">
        <v>16</v>
      </c>
      <c r="K143">
        <v>1</v>
      </c>
      <c r="L143" s="2" t="s">
        <v>24</v>
      </c>
      <c r="M143">
        <v>1</v>
      </c>
      <c r="N143" s="2" t="s">
        <v>37</v>
      </c>
      <c r="O143">
        <v>1</v>
      </c>
    </row>
    <row r="144" spans="1:15" x14ac:dyDescent="0.35">
      <c r="A144" s="2" t="s">
        <v>186</v>
      </c>
      <c r="B144" s="2" t="s">
        <v>56</v>
      </c>
      <c r="C144" s="2" t="s">
        <v>50</v>
      </c>
      <c r="D144" s="2" t="s">
        <v>231</v>
      </c>
      <c r="E144">
        <v>2021</v>
      </c>
      <c r="F144" s="2" t="s">
        <v>6</v>
      </c>
      <c r="G144">
        <v>1</v>
      </c>
      <c r="H144" s="2" t="s">
        <v>7</v>
      </c>
      <c r="I144">
        <v>1</v>
      </c>
      <c r="J144" s="2" t="s">
        <v>16</v>
      </c>
      <c r="K144">
        <v>1</v>
      </c>
      <c r="L144" s="2" t="s">
        <v>24</v>
      </c>
      <c r="M144">
        <v>1</v>
      </c>
      <c r="N144" s="2" t="s">
        <v>38</v>
      </c>
      <c r="O144">
        <v>1</v>
      </c>
    </row>
    <row r="145" spans="1:15" x14ac:dyDescent="0.35">
      <c r="A145" s="2" t="s">
        <v>186</v>
      </c>
      <c r="B145" s="2" t="s">
        <v>56</v>
      </c>
      <c r="C145" s="2" t="s">
        <v>50</v>
      </c>
      <c r="D145" s="2" t="s">
        <v>231</v>
      </c>
      <c r="E145">
        <v>2021</v>
      </c>
      <c r="F145" s="2" t="s">
        <v>6</v>
      </c>
      <c r="G145">
        <v>1</v>
      </c>
      <c r="H145" s="2" t="s">
        <v>7</v>
      </c>
      <c r="I145">
        <v>1</v>
      </c>
      <c r="J145" s="2" t="s">
        <v>16</v>
      </c>
      <c r="K145">
        <v>1</v>
      </c>
      <c r="L145" s="2" t="s">
        <v>24</v>
      </c>
      <c r="M145">
        <v>1</v>
      </c>
      <c r="N145" s="2" t="s">
        <v>46</v>
      </c>
      <c r="O145">
        <v>1</v>
      </c>
    </row>
    <row r="146" spans="1:15" x14ac:dyDescent="0.35">
      <c r="A146" s="2" t="s">
        <v>188</v>
      </c>
      <c r="B146" s="2" t="s">
        <v>56</v>
      </c>
      <c r="C146" s="2" t="s">
        <v>50</v>
      </c>
      <c r="D146" s="2" t="s">
        <v>231</v>
      </c>
      <c r="E146">
        <v>2021</v>
      </c>
      <c r="F146" s="2" t="s">
        <v>6</v>
      </c>
      <c r="G146">
        <v>1</v>
      </c>
      <c r="H146" s="2" t="s">
        <v>7</v>
      </c>
      <c r="I146">
        <v>1</v>
      </c>
      <c r="J146" s="2" t="s">
        <v>16</v>
      </c>
      <c r="K146">
        <v>1</v>
      </c>
      <c r="L146" s="2" t="s">
        <v>24</v>
      </c>
      <c r="M146">
        <v>1</v>
      </c>
      <c r="N146" s="2" t="s">
        <v>37</v>
      </c>
      <c r="O146">
        <v>1</v>
      </c>
    </row>
    <row r="147" spans="1:15" x14ac:dyDescent="0.35">
      <c r="A147" s="2" t="s">
        <v>188</v>
      </c>
      <c r="B147" s="2" t="s">
        <v>56</v>
      </c>
      <c r="C147" s="2" t="s">
        <v>50</v>
      </c>
      <c r="D147" s="2" t="s">
        <v>231</v>
      </c>
      <c r="E147">
        <v>2021</v>
      </c>
      <c r="F147" s="2" t="s">
        <v>6</v>
      </c>
      <c r="G147">
        <v>1</v>
      </c>
      <c r="H147" s="2" t="s">
        <v>7</v>
      </c>
      <c r="I147">
        <v>1</v>
      </c>
      <c r="J147" s="2" t="s">
        <v>16</v>
      </c>
      <c r="K147">
        <v>1</v>
      </c>
      <c r="L147" s="2" t="s">
        <v>24</v>
      </c>
      <c r="M147">
        <v>1</v>
      </c>
      <c r="N147" s="2" t="s">
        <v>40</v>
      </c>
      <c r="O147">
        <v>1</v>
      </c>
    </row>
    <row r="148" spans="1:15" x14ac:dyDescent="0.35">
      <c r="A148" s="2" t="s">
        <v>189</v>
      </c>
      <c r="B148" s="2" t="s">
        <v>56</v>
      </c>
      <c r="C148" s="2" t="s">
        <v>50</v>
      </c>
      <c r="D148" s="2" t="s">
        <v>231</v>
      </c>
      <c r="E148">
        <v>2021</v>
      </c>
      <c r="F148" s="2" t="s">
        <v>6</v>
      </c>
      <c r="G148">
        <v>1</v>
      </c>
      <c r="H148" s="2" t="s">
        <v>7</v>
      </c>
      <c r="I148">
        <v>1</v>
      </c>
      <c r="J148" s="2" t="s">
        <v>16</v>
      </c>
      <c r="K148">
        <v>1</v>
      </c>
      <c r="L148" s="2" t="s">
        <v>24</v>
      </c>
      <c r="M148">
        <v>1</v>
      </c>
      <c r="N148" s="2" t="s">
        <v>37</v>
      </c>
      <c r="O148">
        <v>1</v>
      </c>
    </row>
    <row r="149" spans="1:15" x14ac:dyDescent="0.35">
      <c r="A149" s="2" t="s">
        <v>193</v>
      </c>
      <c r="B149" s="2" t="s">
        <v>56</v>
      </c>
      <c r="C149" s="2" t="s">
        <v>50</v>
      </c>
      <c r="D149" s="2" t="s">
        <v>231</v>
      </c>
      <c r="E149">
        <v>2019</v>
      </c>
      <c r="F149" s="2" t="s">
        <v>6</v>
      </c>
      <c r="G149">
        <v>1</v>
      </c>
      <c r="H149" s="2" t="s">
        <v>7</v>
      </c>
      <c r="I149">
        <v>1</v>
      </c>
      <c r="J149" s="2" t="s">
        <v>16</v>
      </c>
      <c r="K149">
        <v>1</v>
      </c>
      <c r="L149" s="2" t="s">
        <v>24</v>
      </c>
      <c r="M149">
        <v>1</v>
      </c>
      <c r="N149" s="2" t="s">
        <v>32</v>
      </c>
      <c r="O149">
        <v>1</v>
      </c>
    </row>
    <row r="150" spans="1:15" x14ac:dyDescent="0.35">
      <c r="A150" s="2" t="s">
        <v>193</v>
      </c>
      <c r="B150" s="2" t="s">
        <v>56</v>
      </c>
      <c r="C150" s="2" t="s">
        <v>50</v>
      </c>
      <c r="D150" s="2" t="s">
        <v>231</v>
      </c>
      <c r="E150">
        <v>2019</v>
      </c>
      <c r="F150" s="2" t="s">
        <v>6</v>
      </c>
      <c r="G150">
        <v>1</v>
      </c>
      <c r="H150" s="2" t="s">
        <v>7</v>
      </c>
      <c r="I150">
        <v>1</v>
      </c>
      <c r="J150" s="2" t="s">
        <v>16</v>
      </c>
      <c r="K150">
        <v>1</v>
      </c>
      <c r="L150" s="2" t="s">
        <v>24</v>
      </c>
      <c r="M150">
        <v>1</v>
      </c>
      <c r="N150" s="2" t="s">
        <v>37</v>
      </c>
      <c r="O150">
        <v>1</v>
      </c>
    </row>
    <row r="151" spans="1:15" x14ac:dyDescent="0.35">
      <c r="A151" s="2" t="s">
        <v>193</v>
      </c>
      <c r="B151" s="2" t="s">
        <v>56</v>
      </c>
      <c r="C151" s="2" t="s">
        <v>50</v>
      </c>
      <c r="D151" s="2" t="s">
        <v>231</v>
      </c>
      <c r="E151">
        <v>2019</v>
      </c>
      <c r="F151" s="2" t="s">
        <v>6</v>
      </c>
      <c r="G151">
        <v>1</v>
      </c>
      <c r="H151" s="2" t="s">
        <v>7</v>
      </c>
      <c r="I151">
        <v>1</v>
      </c>
      <c r="J151" s="2" t="s">
        <v>16</v>
      </c>
      <c r="K151">
        <v>1</v>
      </c>
      <c r="L151" s="2" t="s">
        <v>24</v>
      </c>
      <c r="M151">
        <v>1</v>
      </c>
      <c r="N151" s="2" t="s">
        <v>38</v>
      </c>
      <c r="O151">
        <v>1</v>
      </c>
    </row>
    <row r="152" spans="1:15" x14ac:dyDescent="0.35">
      <c r="A152" s="2" t="s">
        <v>193</v>
      </c>
      <c r="B152" s="2" t="s">
        <v>56</v>
      </c>
      <c r="C152" s="2" t="s">
        <v>50</v>
      </c>
      <c r="D152" s="2" t="s">
        <v>231</v>
      </c>
      <c r="E152">
        <v>2019</v>
      </c>
      <c r="F152" s="2" t="s">
        <v>6</v>
      </c>
      <c r="G152">
        <v>1</v>
      </c>
      <c r="H152" s="2" t="s">
        <v>7</v>
      </c>
      <c r="I152">
        <v>1</v>
      </c>
      <c r="J152" s="2" t="s">
        <v>16</v>
      </c>
      <c r="K152">
        <v>1</v>
      </c>
      <c r="L152" s="2" t="s">
        <v>24</v>
      </c>
      <c r="M152">
        <v>1</v>
      </c>
      <c r="N152" s="2" t="s">
        <v>40</v>
      </c>
      <c r="O152">
        <v>1</v>
      </c>
    </row>
    <row r="153" spans="1:15" x14ac:dyDescent="0.35">
      <c r="A153" s="2" t="s">
        <v>85</v>
      </c>
      <c r="B153" s="2" t="s">
        <v>56</v>
      </c>
      <c r="C153" s="2" t="s">
        <v>50</v>
      </c>
      <c r="D153" s="2" t="s">
        <v>231</v>
      </c>
      <c r="E153">
        <v>2015</v>
      </c>
      <c r="F153" s="2" t="s">
        <v>6</v>
      </c>
      <c r="G153">
        <v>1</v>
      </c>
      <c r="H153" s="2" t="s">
        <v>7</v>
      </c>
      <c r="I153">
        <v>1</v>
      </c>
      <c r="J153" s="2" t="s">
        <v>15</v>
      </c>
      <c r="K153">
        <v>1</v>
      </c>
      <c r="L153" s="2" t="s">
        <v>22</v>
      </c>
      <c r="M153">
        <v>1</v>
      </c>
      <c r="N153" s="2" t="s">
        <v>37</v>
      </c>
      <c r="O153">
        <v>1</v>
      </c>
    </row>
    <row r="154" spans="1:15" x14ac:dyDescent="0.35">
      <c r="A154" s="2" t="s">
        <v>85</v>
      </c>
      <c r="B154" s="2" t="s">
        <v>56</v>
      </c>
      <c r="C154" s="2" t="s">
        <v>50</v>
      </c>
      <c r="D154" s="2" t="s">
        <v>231</v>
      </c>
      <c r="E154">
        <v>2015</v>
      </c>
      <c r="F154" s="2" t="s">
        <v>6</v>
      </c>
      <c r="G154">
        <v>1</v>
      </c>
      <c r="H154" s="2" t="s">
        <v>7</v>
      </c>
      <c r="I154">
        <v>1</v>
      </c>
      <c r="J154" s="2" t="s">
        <v>15</v>
      </c>
      <c r="K154">
        <v>1</v>
      </c>
      <c r="L154" s="2" t="s">
        <v>22</v>
      </c>
      <c r="M154">
        <v>1</v>
      </c>
      <c r="N154" s="2" t="s">
        <v>38</v>
      </c>
      <c r="O154">
        <v>1</v>
      </c>
    </row>
    <row r="155" spans="1:15" x14ac:dyDescent="0.35">
      <c r="A155" s="2" t="s">
        <v>85</v>
      </c>
      <c r="B155" s="2" t="s">
        <v>56</v>
      </c>
      <c r="C155" s="2" t="s">
        <v>50</v>
      </c>
      <c r="D155" s="2" t="s">
        <v>231</v>
      </c>
      <c r="E155">
        <v>2015</v>
      </c>
      <c r="F155" s="2" t="s">
        <v>6</v>
      </c>
      <c r="G155">
        <v>1</v>
      </c>
      <c r="H155" s="2" t="s">
        <v>7</v>
      </c>
      <c r="I155">
        <v>1</v>
      </c>
      <c r="J155" s="2" t="s">
        <v>15</v>
      </c>
      <c r="K155">
        <v>1</v>
      </c>
      <c r="L155" s="2" t="s">
        <v>22</v>
      </c>
      <c r="M155">
        <v>1</v>
      </c>
      <c r="N155" s="2" t="s">
        <v>39</v>
      </c>
      <c r="O155">
        <v>1</v>
      </c>
    </row>
    <row r="156" spans="1:15" x14ac:dyDescent="0.35">
      <c r="A156" s="2" t="s">
        <v>85</v>
      </c>
      <c r="B156" s="2" t="s">
        <v>56</v>
      </c>
      <c r="C156" s="2" t="s">
        <v>50</v>
      </c>
      <c r="D156" s="2" t="s">
        <v>231</v>
      </c>
      <c r="E156">
        <v>2015</v>
      </c>
      <c r="F156" s="2" t="s">
        <v>6</v>
      </c>
      <c r="G156">
        <v>1</v>
      </c>
      <c r="H156" s="2" t="s">
        <v>7</v>
      </c>
      <c r="I156">
        <v>1</v>
      </c>
      <c r="J156" s="2" t="s">
        <v>15</v>
      </c>
      <c r="K156">
        <v>1</v>
      </c>
      <c r="L156" s="2" t="s">
        <v>22</v>
      </c>
      <c r="M156">
        <v>1</v>
      </c>
      <c r="N156" s="2" t="s">
        <v>40</v>
      </c>
      <c r="O156">
        <v>1</v>
      </c>
    </row>
    <row r="157" spans="1:15" x14ac:dyDescent="0.35">
      <c r="A157" s="2" t="s">
        <v>85</v>
      </c>
      <c r="B157" s="2" t="s">
        <v>56</v>
      </c>
      <c r="C157" s="2" t="s">
        <v>50</v>
      </c>
      <c r="D157" s="2" t="s">
        <v>231</v>
      </c>
      <c r="E157">
        <v>2015</v>
      </c>
      <c r="F157" s="2" t="s">
        <v>6</v>
      </c>
      <c r="G157">
        <v>1</v>
      </c>
      <c r="H157" s="2" t="s">
        <v>7</v>
      </c>
      <c r="I157">
        <v>1</v>
      </c>
      <c r="J157" s="2" t="s">
        <v>15</v>
      </c>
      <c r="K157">
        <v>1</v>
      </c>
      <c r="L157" s="2" t="s">
        <v>22</v>
      </c>
      <c r="M157">
        <v>1</v>
      </c>
      <c r="N157" s="2" t="s">
        <v>41</v>
      </c>
      <c r="O157">
        <v>1</v>
      </c>
    </row>
    <row r="158" spans="1:15" x14ac:dyDescent="0.35">
      <c r="A158" s="2" t="s">
        <v>85</v>
      </c>
      <c r="B158" s="2" t="s">
        <v>56</v>
      </c>
      <c r="C158" s="2" t="s">
        <v>50</v>
      </c>
      <c r="D158" s="2" t="s">
        <v>231</v>
      </c>
      <c r="E158">
        <v>2015</v>
      </c>
      <c r="F158" s="2" t="s">
        <v>6</v>
      </c>
      <c r="G158">
        <v>1</v>
      </c>
      <c r="H158" s="2" t="s">
        <v>7</v>
      </c>
      <c r="I158">
        <v>1</v>
      </c>
      <c r="J158" s="2" t="s">
        <v>15</v>
      </c>
      <c r="K158">
        <v>1</v>
      </c>
      <c r="L158" s="2" t="s">
        <v>22</v>
      </c>
      <c r="M158">
        <v>1</v>
      </c>
      <c r="N158" s="2" t="s">
        <v>44</v>
      </c>
      <c r="O158">
        <v>1</v>
      </c>
    </row>
    <row r="159" spans="1:15" x14ac:dyDescent="0.35">
      <c r="A159" s="2" t="s">
        <v>107</v>
      </c>
      <c r="B159" s="2" t="s">
        <v>56</v>
      </c>
      <c r="C159" s="2" t="s">
        <v>50</v>
      </c>
      <c r="D159" s="2" t="s">
        <v>231</v>
      </c>
      <c r="E159">
        <v>2017</v>
      </c>
      <c r="F159" s="2" t="s">
        <v>6</v>
      </c>
      <c r="G159">
        <v>1</v>
      </c>
      <c r="H159" s="2" t="s">
        <v>7</v>
      </c>
      <c r="I159">
        <v>1</v>
      </c>
      <c r="J159" s="2" t="s">
        <v>17</v>
      </c>
      <c r="K159">
        <v>1</v>
      </c>
      <c r="L159" s="2" t="s">
        <v>22</v>
      </c>
      <c r="M159">
        <v>1</v>
      </c>
      <c r="N159" s="2" t="s">
        <v>35</v>
      </c>
      <c r="O159">
        <v>1</v>
      </c>
    </row>
    <row r="160" spans="1:15" x14ac:dyDescent="0.35">
      <c r="A160" s="2" t="s">
        <v>107</v>
      </c>
      <c r="B160" s="2" t="s">
        <v>56</v>
      </c>
      <c r="C160" s="2" t="s">
        <v>50</v>
      </c>
      <c r="D160" s="2" t="s">
        <v>231</v>
      </c>
      <c r="E160">
        <v>2017</v>
      </c>
      <c r="F160" s="2" t="s">
        <v>6</v>
      </c>
      <c r="G160">
        <v>1</v>
      </c>
      <c r="H160" s="2" t="s">
        <v>7</v>
      </c>
      <c r="I160">
        <v>1</v>
      </c>
      <c r="J160" s="2" t="s">
        <v>17</v>
      </c>
      <c r="K160">
        <v>1</v>
      </c>
      <c r="L160" s="2" t="s">
        <v>22</v>
      </c>
      <c r="M160">
        <v>1</v>
      </c>
      <c r="N160" s="2" t="s">
        <v>38</v>
      </c>
      <c r="O160">
        <v>1</v>
      </c>
    </row>
    <row r="161" spans="1:15" x14ac:dyDescent="0.35">
      <c r="A161" s="2" t="s">
        <v>107</v>
      </c>
      <c r="B161" s="2" t="s">
        <v>56</v>
      </c>
      <c r="C161" s="2" t="s">
        <v>50</v>
      </c>
      <c r="D161" s="2" t="s">
        <v>231</v>
      </c>
      <c r="E161">
        <v>2017</v>
      </c>
      <c r="F161" s="2" t="s">
        <v>6</v>
      </c>
      <c r="G161">
        <v>1</v>
      </c>
      <c r="H161" s="2" t="s">
        <v>7</v>
      </c>
      <c r="I161">
        <v>1</v>
      </c>
      <c r="J161" s="2" t="s">
        <v>17</v>
      </c>
      <c r="K161">
        <v>1</v>
      </c>
      <c r="L161" s="2" t="s">
        <v>22</v>
      </c>
      <c r="M161">
        <v>1</v>
      </c>
      <c r="N161" s="2" t="s">
        <v>41</v>
      </c>
      <c r="O161">
        <v>1</v>
      </c>
    </row>
    <row r="162" spans="1:15" x14ac:dyDescent="0.35">
      <c r="A162" s="2" t="s">
        <v>107</v>
      </c>
      <c r="B162" s="2" t="s">
        <v>56</v>
      </c>
      <c r="C162" s="2" t="s">
        <v>50</v>
      </c>
      <c r="D162" s="2" t="s">
        <v>231</v>
      </c>
      <c r="E162">
        <v>2017</v>
      </c>
      <c r="F162" s="2" t="s">
        <v>6</v>
      </c>
      <c r="G162">
        <v>1</v>
      </c>
      <c r="H162" s="2" t="s">
        <v>7</v>
      </c>
      <c r="I162">
        <v>1</v>
      </c>
      <c r="J162" s="2" t="s">
        <v>17</v>
      </c>
      <c r="K162">
        <v>1</v>
      </c>
      <c r="L162" s="2" t="s">
        <v>22</v>
      </c>
      <c r="M162">
        <v>1</v>
      </c>
      <c r="N162" s="2" t="s">
        <v>42</v>
      </c>
      <c r="O162">
        <v>1</v>
      </c>
    </row>
    <row r="163" spans="1:15" x14ac:dyDescent="0.35">
      <c r="A163" s="2" t="s">
        <v>107</v>
      </c>
      <c r="B163" s="2" t="s">
        <v>56</v>
      </c>
      <c r="C163" s="2" t="s">
        <v>50</v>
      </c>
      <c r="D163" s="2" t="s">
        <v>231</v>
      </c>
      <c r="E163">
        <v>2017</v>
      </c>
      <c r="F163" s="2" t="s">
        <v>6</v>
      </c>
      <c r="G163">
        <v>1</v>
      </c>
      <c r="H163" s="2" t="s">
        <v>7</v>
      </c>
      <c r="I163">
        <v>1</v>
      </c>
      <c r="J163" s="2" t="s">
        <v>17</v>
      </c>
      <c r="K163">
        <v>1</v>
      </c>
      <c r="L163" s="2" t="s">
        <v>22</v>
      </c>
      <c r="M163">
        <v>1</v>
      </c>
      <c r="N163" s="2" t="s">
        <v>44</v>
      </c>
      <c r="O163">
        <v>1</v>
      </c>
    </row>
    <row r="164" spans="1:15" x14ac:dyDescent="0.35">
      <c r="A164" s="2" t="s">
        <v>108</v>
      </c>
      <c r="B164" s="2" t="s">
        <v>56</v>
      </c>
      <c r="C164" s="2" t="s">
        <v>50</v>
      </c>
      <c r="D164" s="2" t="s">
        <v>231</v>
      </c>
      <c r="E164">
        <v>2017</v>
      </c>
      <c r="F164" s="2" t="s">
        <v>6</v>
      </c>
      <c r="G164">
        <v>1</v>
      </c>
      <c r="H164" s="2" t="s">
        <v>7</v>
      </c>
      <c r="I164">
        <v>1</v>
      </c>
      <c r="J164" s="2" t="s">
        <v>17</v>
      </c>
      <c r="K164">
        <v>1</v>
      </c>
      <c r="L164" s="2" t="s">
        <v>22</v>
      </c>
      <c r="M164">
        <v>1</v>
      </c>
      <c r="N164" s="2" t="s">
        <v>35</v>
      </c>
      <c r="O164">
        <v>1</v>
      </c>
    </row>
    <row r="165" spans="1:15" x14ac:dyDescent="0.35">
      <c r="A165" s="2" t="s">
        <v>108</v>
      </c>
      <c r="B165" s="2" t="s">
        <v>56</v>
      </c>
      <c r="C165" s="2" t="s">
        <v>50</v>
      </c>
      <c r="D165" s="2" t="s">
        <v>231</v>
      </c>
      <c r="E165">
        <v>2017</v>
      </c>
      <c r="F165" s="2" t="s">
        <v>6</v>
      </c>
      <c r="G165">
        <v>1</v>
      </c>
      <c r="H165" s="2" t="s">
        <v>7</v>
      </c>
      <c r="I165">
        <v>1</v>
      </c>
      <c r="J165" s="2" t="s">
        <v>17</v>
      </c>
      <c r="K165">
        <v>1</v>
      </c>
      <c r="L165" s="2" t="s">
        <v>22</v>
      </c>
      <c r="M165">
        <v>1</v>
      </c>
      <c r="N165" s="2" t="s">
        <v>38</v>
      </c>
      <c r="O165">
        <v>1</v>
      </c>
    </row>
    <row r="166" spans="1:15" x14ac:dyDescent="0.35">
      <c r="A166" s="2" t="s">
        <v>108</v>
      </c>
      <c r="B166" s="2" t="s">
        <v>56</v>
      </c>
      <c r="C166" s="2" t="s">
        <v>50</v>
      </c>
      <c r="D166" s="2" t="s">
        <v>231</v>
      </c>
      <c r="E166">
        <v>2017</v>
      </c>
      <c r="F166" s="2" t="s">
        <v>6</v>
      </c>
      <c r="G166">
        <v>1</v>
      </c>
      <c r="H166" s="2" t="s">
        <v>7</v>
      </c>
      <c r="I166">
        <v>1</v>
      </c>
      <c r="J166" s="2" t="s">
        <v>17</v>
      </c>
      <c r="K166">
        <v>1</v>
      </c>
      <c r="L166" s="2" t="s">
        <v>22</v>
      </c>
      <c r="M166">
        <v>1</v>
      </c>
      <c r="N166" s="2" t="s">
        <v>41</v>
      </c>
      <c r="O166">
        <v>1</v>
      </c>
    </row>
    <row r="167" spans="1:15" x14ac:dyDescent="0.35">
      <c r="A167" s="2" t="s">
        <v>108</v>
      </c>
      <c r="B167" s="2" t="s">
        <v>56</v>
      </c>
      <c r="C167" s="2" t="s">
        <v>50</v>
      </c>
      <c r="D167" s="2" t="s">
        <v>231</v>
      </c>
      <c r="E167">
        <v>2017</v>
      </c>
      <c r="F167" s="2" t="s">
        <v>6</v>
      </c>
      <c r="G167">
        <v>1</v>
      </c>
      <c r="H167" s="2" t="s">
        <v>7</v>
      </c>
      <c r="I167">
        <v>1</v>
      </c>
      <c r="J167" s="2" t="s">
        <v>17</v>
      </c>
      <c r="K167">
        <v>1</v>
      </c>
      <c r="L167" s="2" t="s">
        <v>22</v>
      </c>
      <c r="M167">
        <v>1</v>
      </c>
      <c r="N167" s="2" t="s">
        <v>42</v>
      </c>
      <c r="O167">
        <v>1</v>
      </c>
    </row>
    <row r="168" spans="1:15" x14ac:dyDescent="0.35">
      <c r="A168" s="2" t="s">
        <v>108</v>
      </c>
      <c r="B168" s="2" t="s">
        <v>56</v>
      </c>
      <c r="C168" s="2" t="s">
        <v>50</v>
      </c>
      <c r="D168" s="2" t="s">
        <v>231</v>
      </c>
      <c r="E168">
        <v>2017</v>
      </c>
      <c r="F168" s="2" t="s">
        <v>6</v>
      </c>
      <c r="G168">
        <v>1</v>
      </c>
      <c r="H168" s="2" t="s">
        <v>7</v>
      </c>
      <c r="I168">
        <v>1</v>
      </c>
      <c r="J168" s="2" t="s">
        <v>17</v>
      </c>
      <c r="K168">
        <v>1</v>
      </c>
      <c r="L168" s="2" t="s">
        <v>22</v>
      </c>
      <c r="M168">
        <v>1</v>
      </c>
      <c r="N168" s="2" t="s">
        <v>44</v>
      </c>
      <c r="O168">
        <v>1</v>
      </c>
    </row>
    <row r="169" spans="1:15" x14ac:dyDescent="0.35">
      <c r="A169" s="2" t="s">
        <v>109</v>
      </c>
      <c r="B169" s="2" t="s">
        <v>56</v>
      </c>
      <c r="C169" s="2" t="s">
        <v>50</v>
      </c>
      <c r="D169" s="2" t="s">
        <v>231</v>
      </c>
      <c r="E169">
        <v>2017</v>
      </c>
      <c r="F169" s="2" t="s">
        <v>6</v>
      </c>
      <c r="G169">
        <v>1</v>
      </c>
      <c r="H169" s="2" t="s">
        <v>7</v>
      </c>
      <c r="I169">
        <v>1</v>
      </c>
      <c r="J169" s="2" t="s">
        <v>17</v>
      </c>
      <c r="K169">
        <v>1</v>
      </c>
      <c r="L169" s="2" t="s">
        <v>22</v>
      </c>
      <c r="M169">
        <v>1</v>
      </c>
      <c r="N169" s="2" t="s">
        <v>37</v>
      </c>
      <c r="O169">
        <v>1</v>
      </c>
    </row>
    <row r="170" spans="1:15" x14ac:dyDescent="0.35">
      <c r="A170" s="2" t="s">
        <v>109</v>
      </c>
      <c r="B170" s="2" t="s">
        <v>56</v>
      </c>
      <c r="C170" s="2" t="s">
        <v>50</v>
      </c>
      <c r="D170" s="2" t="s">
        <v>231</v>
      </c>
      <c r="E170">
        <v>2017</v>
      </c>
      <c r="F170" s="2" t="s">
        <v>6</v>
      </c>
      <c r="G170">
        <v>1</v>
      </c>
      <c r="H170" s="2" t="s">
        <v>7</v>
      </c>
      <c r="I170">
        <v>1</v>
      </c>
      <c r="J170" s="2" t="s">
        <v>17</v>
      </c>
      <c r="K170">
        <v>1</v>
      </c>
      <c r="L170" s="2" t="s">
        <v>22</v>
      </c>
      <c r="M170">
        <v>1</v>
      </c>
      <c r="N170" s="2" t="s">
        <v>38</v>
      </c>
      <c r="O170">
        <v>1</v>
      </c>
    </row>
    <row r="171" spans="1:15" x14ac:dyDescent="0.35">
      <c r="A171" s="2" t="s">
        <v>109</v>
      </c>
      <c r="B171" s="2" t="s">
        <v>56</v>
      </c>
      <c r="C171" s="2" t="s">
        <v>50</v>
      </c>
      <c r="D171" s="2" t="s">
        <v>231</v>
      </c>
      <c r="E171">
        <v>2017</v>
      </c>
      <c r="F171" s="2" t="s">
        <v>6</v>
      </c>
      <c r="G171">
        <v>1</v>
      </c>
      <c r="H171" s="2" t="s">
        <v>7</v>
      </c>
      <c r="I171">
        <v>1</v>
      </c>
      <c r="J171" s="2" t="s">
        <v>17</v>
      </c>
      <c r="K171">
        <v>1</v>
      </c>
      <c r="L171" s="2" t="s">
        <v>22</v>
      </c>
      <c r="M171">
        <v>1</v>
      </c>
      <c r="N171" s="2" t="s">
        <v>39</v>
      </c>
      <c r="O171">
        <v>1</v>
      </c>
    </row>
    <row r="172" spans="1:15" x14ac:dyDescent="0.35">
      <c r="A172" s="2" t="s">
        <v>110</v>
      </c>
      <c r="B172" s="2" t="s">
        <v>56</v>
      </c>
      <c r="C172" s="2" t="s">
        <v>50</v>
      </c>
      <c r="D172" s="2" t="s">
        <v>231</v>
      </c>
      <c r="E172">
        <v>2018</v>
      </c>
      <c r="F172" s="2" t="s">
        <v>6</v>
      </c>
      <c r="G172">
        <v>1</v>
      </c>
      <c r="H172" s="2" t="s">
        <v>7</v>
      </c>
      <c r="I172">
        <v>1</v>
      </c>
      <c r="J172" s="2" t="s">
        <v>17</v>
      </c>
      <c r="K172">
        <v>1</v>
      </c>
      <c r="L172" s="2" t="s">
        <v>22</v>
      </c>
      <c r="M172">
        <v>1</v>
      </c>
      <c r="N172" s="2" t="s">
        <v>35</v>
      </c>
      <c r="O172">
        <v>1</v>
      </c>
    </row>
    <row r="173" spans="1:15" x14ac:dyDescent="0.35">
      <c r="A173" s="2" t="s">
        <v>110</v>
      </c>
      <c r="B173" s="2" t="s">
        <v>56</v>
      </c>
      <c r="C173" s="2" t="s">
        <v>50</v>
      </c>
      <c r="D173" s="2" t="s">
        <v>231</v>
      </c>
      <c r="E173">
        <v>2018</v>
      </c>
      <c r="F173" s="2" t="s">
        <v>6</v>
      </c>
      <c r="G173">
        <v>1</v>
      </c>
      <c r="H173" s="2" t="s">
        <v>7</v>
      </c>
      <c r="I173">
        <v>1</v>
      </c>
      <c r="J173" s="2" t="s">
        <v>17</v>
      </c>
      <c r="K173">
        <v>1</v>
      </c>
      <c r="L173" s="2" t="s">
        <v>22</v>
      </c>
      <c r="M173">
        <v>1</v>
      </c>
      <c r="N173" s="2" t="s">
        <v>38</v>
      </c>
      <c r="O173">
        <v>1</v>
      </c>
    </row>
    <row r="174" spans="1:15" x14ac:dyDescent="0.35">
      <c r="A174" s="2" t="s">
        <v>110</v>
      </c>
      <c r="B174" s="2" t="s">
        <v>56</v>
      </c>
      <c r="C174" s="2" t="s">
        <v>50</v>
      </c>
      <c r="D174" s="2" t="s">
        <v>231</v>
      </c>
      <c r="E174">
        <v>2018</v>
      </c>
      <c r="F174" s="2" t="s">
        <v>6</v>
      </c>
      <c r="G174">
        <v>1</v>
      </c>
      <c r="H174" s="2" t="s">
        <v>7</v>
      </c>
      <c r="I174">
        <v>1</v>
      </c>
      <c r="J174" s="2" t="s">
        <v>17</v>
      </c>
      <c r="K174">
        <v>1</v>
      </c>
      <c r="L174" s="2" t="s">
        <v>22</v>
      </c>
      <c r="M174">
        <v>1</v>
      </c>
      <c r="N174" s="2" t="s">
        <v>41</v>
      </c>
      <c r="O174">
        <v>1</v>
      </c>
    </row>
    <row r="175" spans="1:15" x14ac:dyDescent="0.35">
      <c r="A175" s="2" t="s">
        <v>110</v>
      </c>
      <c r="B175" s="2" t="s">
        <v>56</v>
      </c>
      <c r="C175" s="2" t="s">
        <v>50</v>
      </c>
      <c r="D175" s="2" t="s">
        <v>231</v>
      </c>
      <c r="E175">
        <v>2018</v>
      </c>
      <c r="F175" s="2" t="s">
        <v>6</v>
      </c>
      <c r="G175">
        <v>1</v>
      </c>
      <c r="H175" s="2" t="s">
        <v>7</v>
      </c>
      <c r="I175">
        <v>1</v>
      </c>
      <c r="J175" s="2" t="s">
        <v>17</v>
      </c>
      <c r="K175">
        <v>1</v>
      </c>
      <c r="L175" s="2" t="s">
        <v>22</v>
      </c>
      <c r="M175">
        <v>1</v>
      </c>
      <c r="N175" s="2" t="s">
        <v>46</v>
      </c>
      <c r="O175">
        <v>1</v>
      </c>
    </row>
    <row r="176" spans="1:15" x14ac:dyDescent="0.35">
      <c r="A176" s="2" t="s">
        <v>111</v>
      </c>
      <c r="B176" s="2" t="s">
        <v>56</v>
      </c>
      <c r="C176" s="2" t="s">
        <v>50</v>
      </c>
      <c r="D176" s="2" t="s">
        <v>231</v>
      </c>
      <c r="E176">
        <v>2012</v>
      </c>
      <c r="F176" s="2" t="s">
        <v>6</v>
      </c>
      <c r="G176">
        <v>1</v>
      </c>
      <c r="H176" s="2" t="s">
        <v>7</v>
      </c>
      <c r="I176">
        <v>1</v>
      </c>
      <c r="J176" s="2" t="s">
        <v>17</v>
      </c>
      <c r="K176">
        <v>1</v>
      </c>
      <c r="L176" s="2" t="s">
        <v>22</v>
      </c>
      <c r="M176">
        <v>1</v>
      </c>
      <c r="N176" s="2" t="s">
        <v>33</v>
      </c>
      <c r="O176">
        <v>1</v>
      </c>
    </row>
    <row r="177" spans="1:15" x14ac:dyDescent="0.35">
      <c r="A177" s="2" t="s">
        <v>111</v>
      </c>
      <c r="B177" s="2" t="s">
        <v>56</v>
      </c>
      <c r="C177" s="2" t="s">
        <v>50</v>
      </c>
      <c r="D177" s="2" t="s">
        <v>231</v>
      </c>
      <c r="E177">
        <v>2012</v>
      </c>
      <c r="F177" s="2" t="s">
        <v>6</v>
      </c>
      <c r="G177">
        <v>1</v>
      </c>
      <c r="H177" s="2" t="s">
        <v>7</v>
      </c>
      <c r="I177">
        <v>1</v>
      </c>
      <c r="J177" s="2" t="s">
        <v>17</v>
      </c>
      <c r="K177">
        <v>1</v>
      </c>
      <c r="L177" s="2" t="s">
        <v>22</v>
      </c>
      <c r="M177">
        <v>1</v>
      </c>
      <c r="N177" s="2" t="s">
        <v>44</v>
      </c>
      <c r="O177">
        <v>1</v>
      </c>
    </row>
    <row r="178" spans="1:15" x14ac:dyDescent="0.35">
      <c r="A178" s="2" t="s">
        <v>122</v>
      </c>
      <c r="B178" s="2" t="s">
        <v>56</v>
      </c>
      <c r="C178" s="2" t="s">
        <v>50</v>
      </c>
      <c r="D178" s="2" t="s">
        <v>231</v>
      </c>
      <c r="E178">
        <v>2021</v>
      </c>
      <c r="F178" s="2" t="s">
        <v>6</v>
      </c>
      <c r="G178">
        <v>1</v>
      </c>
      <c r="H178" s="2" t="s">
        <v>7</v>
      </c>
      <c r="I178">
        <v>1</v>
      </c>
      <c r="J178" s="2" t="s">
        <v>15</v>
      </c>
      <c r="K178">
        <v>1</v>
      </c>
      <c r="L178" s="2" t="s">
        <v>22</v>
      </c>
      <c r="M178">
        <v>1</v>
      </c>
      <c r="N178" s="2" t="s">
        <v>37</v>
      </c>
      <c r="O178">
        <v>1</v>
      </c>
    </row>
    <row r="179" spans="1:15" x14ac:dyDescent="0.35">
      <c r="A179" s="2" t="s">
        <v>122</v>
      </c>
      <c r="B179" s="2" t="s">
        <v>56</v>
      </c>
      <c r="C179" s="2" t="s">
        <v>50</v>
      </c>
      <c r="D179" s="2" t="s">
        <v>231</v>
      </c>
      <c r="E179">
        <v>2021</v>
      </c>
      <c r="F179" s="2" t="s">
        <v>6</v>
      </c>
      <c r="G179">
        <v>1</v>
      </c>
      <c r="H179" s="2" t="s">
        <v>7</v>
      </c>
      <c r="I179">
        <v>1</v>
      </c>
      <c r="J179" s="2" t="s">
        <v>15</v>
      </c>
      <c r="K179">
        <v>1</v>
      </c>
      <c r="L179" s="2" t="s">
        <v>22</v>
      </c>
      <c r="M179">
        <v>1</v>
      </c>
      <c r="N179" s="2" t="s">
        <v>38</v>
      </c>
      <c r="O179">
        <v>1</v>
      </c>
    </row>
    <row r="180" spans="1:15" x14ac:dyDescent="0.35">
      <c r="A180" s="2" t="s">
        <v>122</v>
      </c>
      <c r="B180" s="2" t="s">
        <v>56</v>
      </c>
      <c r="C180" s="2" t="s">
        <v>50</v>
      </c>
      <c r="D180" s="2" t="s">
        <v>231</v>
      </c>
      <c r="E180">
        <v>2021</v>
      </c>
      <c r="F180" s="2" t="s">
        <v>6</v>
      </c>
      <c r="G180">
        <v>1</v>
      </c>
      <c r="H180" s="2" t="s">
        <v>7</v>
      </c>
      <c r="I180">
        <v>1</v>
      </c>
      <c r="J180" s="2" t="s">
        <v>15</v>
      </c>
      <c r="K180">
        <v>1</v>
      </c>
      <c r="L180" s="2" t="s">
        <v>22</v>
      </c>
      <c r="M180">
        <v>1</v>
      </c>
      <c r="N180" s="2" t="s">
        <v>39</v>
      </c>
      <c r="O180">
        <v>1</v>
      </c>
    </row>
    <row r="181" spans="1:15" x14ac:dyDescent="0.35">
      <c r="A181" s="2" t="s">
        <v>122</v>
      </c>
      <c r="B181" s="2" t="s">
        <v>56</v>
      </c>
      <c r="C181" s="2" t="s">
        <v>50</v>
      </c>
      <c r="D181" s="2" t="s">
        <v>231</v>
      </c>
      <c r="E181">
        <v>2021</v>
      </c>
      <c r="F181" s="2" t="s">
        <v>6</v>
      </c>
      <c r="G181">
        <v>1</v>
      </c>
      <c r="H181" s="2" t="s">
        <v>7</v>
      </c>
      <c r="I181">
        <v>1</v>
      </c>
      <c r="J181" s="2" t="s">
        <v>15</v>
      </c>
      <c r="K181">
        <v>1</v>
      </c>
      <c r="L181" s="2" t="s">
        <v>22</v>
      </c>
      <c r="M181">
        <v>1</v>
      </c>
      <c r="N181" s="2" t="s">
        <v>40</v>
      </c>
      <c r="O181">
        <v>1</v>
      </c>
    </row>
    <row r="182" spans="1:15" x14ac:dyDescent="0.35">
      <c r="A182" s="2" t="s">
        <v>125</v>
      </c>
      <c r="B182" s="2" t="s">
        <v>56</v>
      </c>
      <c r="C182" s="2" t="s">
        <v>50</v>
      </c>
      <c r="D182" s="2" t="s">
        <v>231</v>
      </c>
      <c r="E182">
        <v>2021</v>
      </c>
      <c r="F182" s="2" t="s">
        <v>6</v>
      </c>
      <c r="G182">
        <v>1</v>
      </c>
      <c r="H182" s="2" t="s">
        <v>7</v>
      </c>
      <c r="I182">
        <v>1</v>
      </c>
      <c r="J182" s="2" t="s">
        <v>15</v>
      </c>
      <c r="K182">
        <v>1</v>
      </c>
      <c r="L182" s="2" t="s">
        <v>22</v>
      </c>
      <c r="M182">
        <v>1</v>
      </c>
      <c r="N182" s="2" t="s">
        <v>37</v>
      </c>
      <c r="O182">
        <v>1</v>
      </c>
    </row>
    <row r="183" spans="1:15" x14ac:dyDescent="0.35">
      <c r="A183" s="2" t="s">
        <v>125</v>
      </c>
      <c r="B183" s="2" t="s">
        <v>56</v>
      </c>
      <c r="C183" s="2" t="s">
        <v>50</v>
      </c>
      <c r="D183" s="2" t="s">
        <v>231</v>
      </c>
      <c r="E183">
        <v>2021</v>
      </c>
      <c r="F183" s="2" t="s">
        <v>6</v>
      </c>
      <c r="G183">
        <v>1</v>
      </c>
      <c r="H183" s="2" t="s">
        <v>7</v>
      </c>
      <c r="I183">
        <v>1</v>
      </c>
      <c r="J183" s="2" t="s">
        <v>15</v>
      </c>
      <c r="K183">
        <v>1</v>
      </c>
      <c r="L183" s="2" t="s">
        <v>22</v>
      </c>
      <c r="M183">
        <v>1</v>
      </c>
      <c r="N183" s="2" t="s">
        <v>38</v>
      </c>
      <c r="O183">
        <v>1</v>
      </c>
    </row>
    <row r="184" spans="1:15" x14ac:dyDescent="0.35">
      <c r="A184" s="2" t="s">
        <v>125</v>
      </c>
      <c r="B184" s="2" t="s">
        <v>56</v>
      </c>
      <c r="C184" s="2" t="s">
        <v>50</v>
      </c>
      <c r="D184" s="2" t="s">
        <v>231</v>
      </c>
      <c r="E184">
        <v>2021</v>
      </c>
      <c r="F184" s="2" t="s">
        <v>6</v>
      </c>
      <c r="G184">
        <v>1</v>
      </c>
      <c r="H184" s="2" t="s">
        <v>7</v>
      </c>
      <c r="I184">
        <v>1</v>
      </c>
      <c r="J184" s="2" t="s">
        <v>15</v>
      </c>
      <c r="K184">
        <v>1</v>
      </c>
      <c r="L184" s="2" t="s">
        <v>22</v>
      </c>
      <c r="M184">
        <v>1</v>
      </c>
      <c r="N184" s="2" t="s">
        <v>40</v>
      </c>
      <c r="O184">
        <v>1</v>
      </c>
    </row>
    <row r="185" spans="1:15" x14ac:dyDescent="0.35">
      <c r="A185" s="2" t="s">
        <v>125</v>
      </c>
      <c r="B185" s="2" t="s">
        <v>56</v>
      </c>
      <c r="C185" s="2" t="s">
        <v>50</v>
      </c>
      <c r="D185" s="2" t="s">
        <v>231</v>
      </c>
      <c r="E185">
        <v>2021</v>
      </c>
      <c r="F185" s="2" t="s">
        <v>6</v>
      </c>
      <c r="G185">
        <v>1</v>
      </c>
      <c r="H185" s="2" t="s">
        <v>7</v>
      </c>
      <c r="I185">
        <v>1</v>
      </c>
      <c r="J185" s="2" t="s">
        <v>15</v>
      </c>
      <c r="K185">
        <v>1</v>
      </c>
      <c r="L185" s="2" t="s">
        <v>22</v>
      </c>
      <c r="M185">
        <v>1</v>
      </c>
      <c r="N185" s="2" t="s">
        <v>44</v>
      </c>
      <c r="O185">
        <v>1</v>
      </c>
    </row>
    <row r="186" spans="1:15" x14ac:dyDescent="0.35">
      <c r="A186" s="2" t="s">
        <v>200</v>
      </c>
      <c r="B186" s="2" t="s">
        <v>56</v>
      </c>
      <c r="C186" s="2" t="s">
        <v>50</v>
      </c>
      <c r="D186" s="2" t="s">
        <v>231</v>
      </c>
      <c r="E186">
        <v>2021</v>
      </c>
      <c r="F186" s="2" t="s">
        <v>6</v>
      </c>
      <c r="G186">
        <v>1</v>
      </c>
      <c r="H186" s="2" t="s">
        <v>7</v>
      </c>
      <c r="I186">
        <v>1</v>
      </c>
      <c r="J186" s="2" t="s">
        <v>15</v>
      </c>
      <c r="K186">
        <v>1</v>
      </c>
      <c r="L186" s="2" t="s">
        <v>22</v>
      </c>
      <c r="M186">
        <v>1</v>
      </c>
      <c r="N186" s="2" t="s">
        <v>37</v>
      </c>
      <c r="O186">
        <v>1</v>
      </c>
    </row>
    <row r="187" spans="1:15" x14ac:dyDescent="0.35">
      <c r="A187" s="2" t="s">
        <v>200</v>
      </c>
      <c r="B187" s="2" t="s">
        <v>56</v>
      </c>
      <c r="C187" s="2" t="s">
        <v>50</v>
      </c>
      <c r="D187" s="2" t="s">
        <v>231</v>
      </c>
      <c r="E187">
        <v>2021</v>
      </c>
      <c r="F187" s="2" t="s">
        <v>6</v>
      </c>
      <c r="G187">
        <v>1</v>
      </c>
      <c r="H187" s="2" t="s">
        <v>7</v>
      </c>
      <c r="I187">
        <v>1</v>
      </c>
      <c r="J187" s="2" t="s">
        <v>15</v>
      </c>
      <c r="K187">
        <v>1</v>
      </c>
      <c r="L187" s="2" t="s">
        <v>22</v>
      </c>
      <c r="M187">
        <v>1</v>
      </c>
      <c r="N187" s="2" t="s">
        <v>38</v>
      </c>
      <c r="O187">
        <v>1</v>
      </c>
    </row>
    <row r="188" spans="1:15" x14ac:dyDescent="0.35">
      <c r="A188" s="2" t="s">
        <v>200</v>
      </c>
      <c r="B188" s="2" t="s">
        <v>56</v>
      </c>
      <c r="C188" s="2" t="s">
        <v>50</v>
      </c>
      <c r="D188" s="2" t="s">
        <v>231</v>
      </c>
      <c r="E188">
        <v>2021</v>
      </c>
      <c r="F188" s="2" t="s">
        <v>6</v>
      </c>
      <c r="G188">
        <v>1</v>
      </c>
      <c r="H188" s="2" t="s">
        <v>7</v>
      </c>
      <c r="I188">
        <v>1</v>
      </c>
      <c r="J188" s="2" t="s">
        <v>15</v>
      </c>
      <c r="K188">
        <v>1</v>
      </c>
      <c r="L188" s="2" t="s">
        <v>22</v>
      </c>
      <c r="M188">
        <v>1</v>
      </c>
      <c r="N188" s="2" t="s">
        <v>39</v>
      </c>
      <c r="O188">
        <v>1</v>
      </c>
    </row>
    <row r="189" spans="1:15" x14ac:dyDescent="0.35">
      <c r="A189" s="2" t="s">
        <v>200</v>
      </c>
      <c r="B189" s="2" t="s">
        <v>56</v>
      </c>
      <c r="C189" s="2" t="s">
        <v>50</v>
      </c>
      <c r="D189" s="2" t="s">
        <v>231</v>
      </c>
      <c r="E189">
        <v>2021</v>
      </c>
      <c r="F189" s="2" t="s">
        <v>6</v>
      </c>
      <c r="G189">
        <v>1</v>
      </c>
      <c r="H189" s="2" t="s">
        <v>7</v>
      </c>
      <c r="I189">
        <v>1</v>
      </c>
      <c r="J189" s="2" t="s">
        <v>15</v>
      </c>
      <c r="K189">
        <v>1</v>
      </c>
      <c r="L189" s="2" t="s">
        <v>22</v>
      </c>
      <c r="M189">
        <v>1</v>
      </c>
      <c r="N189" s="2" t="s">
        <v>40</v>
      </c>
      <c r="O189">
        <v>1</v>
      </c>
    </row>
    <row r="190" spans="1:15" x14ac:dyDescent="0.35">
      <c r="A190" s="2" t="s">
        <v>200</v>
      </c>
      <c r="B190" s="2" t="s">
        <v>56</v>
      </c>
      <c r="C190" s="2" t="s">
        <v>50</v>
      </c>
      <c r="D190" s="2" t="s">
        <v>231</v>
      </c>
      <c r="E190">
        <v>2021</v>
      </c>
      <c r="F190" s="2" t="s">
        <v>6</v>
      </c>
      <c r="G190">
        <v>1</v>
      </c>
      <c r="H190" s="2" t="s">
        <v>7</v>
      </c>
      <c r="I190">
        <v>1</v>
      </c>
      <c r="J190" s="2" t="s">
        <v>15</v>
      </c>
      <c r="K190">
        <v>1</v>
      </c>
      <c r="L190" s="2" t="s">
        <v>22</v>
      </c>
      <c r="M190">
        <v>1</v>
      </c>
      <c r="N190" s="2" t="s">
        <v>46</v>
      </c>
      <c r="O190">
        <v>1</v>
      </c>
    </row>
    <row r="191" spans="1:15" x14ac:dyDescent="0.35">
      <c r="A191" s="2" t="s">
        <v>139</v>
      </c>
      <c r="B191" s="2" t="s">
        <v>56</v>
      </c>
      <c r="C191" s="2" t="s">
        <v>50</v>
      </c>
      <c r="D191" s="2" t="s">
        <v>231</v>
      </c>
      <c r="E191">
        <v>2018</v>
      </c>
      <c r="F191" s="2" t="s">
        <v>6</v>
      </c>
      <c r="G191">
        <v>1</v>
      </c>
      <c r="H191" s="2" t="s">
        <v>7</v>
      </c>
      <c r="I191">
        <v>1</v>
      </c>
      <c r="J191" s="2" t="s">
        <v>17</v>
      </c>
      <c r="K191">
        <v>1</v>
      </c>
      <c r="L191" s="2" t="s">
        <v>22</v>
      </c>
      <c r="M191">
        <v>1</v>
      </c>
      <c r="N191" s="2" t="s">
        <v>37</v>
      </c>
      <c r="O191">
        <v>1</v>
      </c>
    </row>
    <row r="192" spans="1:15" x14ac:dyDescent="0.35">
      <c r="A192" s="2" t="s">
        <v>139</v>
      </c>
      <c r="B192" s="2" t="s">
        <v>56</v>
      </c>
      <c r="C192" s="2" t="s">
        <v>50</v>
      </c>
      <c r="D192" s="2" t="s">
        <v>231</v>
      </c>
      <c r="E192">
        <v>2018</v>
      </c>
      <c r="F192" s="2" t="s">
        <v>6</v>
      </c>
      <c r="G192">
        <v>1</v>
      </c>
      <c r="H192" s="2" t="s">
        <v>7</v>
      </c>
      <c r="I192">
        <v>1</v>
      </c>
      <c r="J192" s="2" t="s">
        <v>17</v>
      </c>
      <c r="K192">
        <v>1</v>
      </c>
      <c r="L192" s="2" t="s">
        <v>22</v>
      </c>
      <c r="M192">
        <v>1</v>
      </c>
      <c r="N192" s="2" t="s">
        <v>38</v>
      </c>
      <c r="O192">
        <v>1</v>
      </c>
    </row>
    <row r="193" spans="1:15" x14ac:dyDescent="0.35">
      <c r="A193" s="2" t="s">
        <v>139</v>
      </c>
      <c r="B193" s="2" t="s">
        <v>56</v>
      </c>
      <c r="C193" s="2" t="s">
        <v>50</v>
      </c>
      <c r="D193" s="2" t="s">
        <v>231</v>
      </c>
      <c r="E193">
        <v>2018</v>
      </c>
      <c r="F193" s="2" t="s">
        <v>6</v>
      </c>
      <c r="G193">
        <v>1</v>
      </c>
      <c r="H193" s="2" t="s">
        <v>7</v>
      </c>
      <c r="I193">
        <v>1</v>
      </c>
      <c r="J193" s="2" t="s">
        <v>17</v>
      </c>
      <c r="K193">
        <v>1</v>
      </c>
      <c r="L193" s="2" t="s">
        <v>22</v>
      </c>
      <c r="M193">
        <v>1</v>
      </c>
      <c r="N193" s="2" t="s">
        <v>40</v>
      </c>
      <c r="O193">
        <v>1</v>
      </c>
    </row>
    <row r="194" spans="1:15" x14ac:dyDescent="0.35">
      <c r="A194" s="2" t="s">
        <v>139</v>
      </c>
      <c r="B194" s="2" t="s">
        <v>56</v>
      </c>
      <c r="C194" s="2" t="s">
        <v>50</v>
      </c>
      <c r="D194" s="2" t="s">
        <v>231</v>
      </c>
      <c r="E194">
        <v>2018</v>
      </c>
      <c r="F194" s="2" t="s">
        <v>6</v>
      </c>
      <c r="G194">
        <v>1</v>
      </c>
      <c r="H194" s="2" t="s">
        <v>7</v>
      </c>
      <c r="I194">
        <v>1</v>
      </c>
      <c r="J194" s="2" t="s">
        <v>17</v>
      </c>
      <c r="K194">
        <v>1</v>
      </c>
      <c r="L194" s="2" t="s">
        <v>22</v>
      </c>
      <c r="M194">
        <v>1</v>
      </c>
      <c r="N194" s="2" t="s">
        <v>44</v>
      </c>
      <c r="O194">
        <v>1</v>
      </c>
    </row>
    <row r="195" spans="1:15" x14ac:dyDescent="0.35">
      <c r="A195" s="2" t="s">
        <v>146</v>
      </c>
      <c r="B195" s="2" t="s">
        <v>56</v>
      </c>
      <c r="C195" s="2" t="s">
        <v>50</v>
      </c>
      <c r="D195" s="2" t="s">
        <v>231</v>
      </c>
      <c r="E195">
        <v>2017</v>
      </c>
      <c r="F195" s="2" t="s">
        <v>6</v>
      </c>
      <c r="G195">
        <v>1</v>
      </c>
      <c r="H195" s="2" t="s">
        <v>7</v>
      </c>
      <c r="I195">
        <v>1</v>
      </c>
      <c r="J195" s="2" t="s">
        <v>14</v>
      </c>
      <c r="K195">
        <v>1</v>
      </c>
      <c r="L195" s="2" t="s">
        <v>22</v>
      </c>
      <c r="M195">
        <v>1</v>
      </c>
      <c r="N195" s="2" t="s">
        <v>44</v>
      </c>
      <c r="O195">
        <v>1</v>
      </c>
    </row>
    <row r="196" spans="1:15" x14ac:dyDescent="0.35">
      <c r="A196" s="2" t="s">
        <v>146</v>
      </c>
      <c r="B196" s="2" t="s">
        <v>56</v>
      </c>
      <c r="C196" s="2" t="s">
        <v>50</v>
      </c>
      <c r="D196" s="2" t="s">
        <v>231</v>
      </c>
      <c r="E196">
        <v>2017</v>
      </c>
      <c r="F196" s="2" t="s">
        <v>6</v>
      </c>
      <c r="G196">
        <v>1</v>
      </c>
      <c r="H196" s="2" t="s">
        <v>7</v>
      </c>
      <c r="I196">
        <v>1</v>
      </c>
      <c r="J196" s="2" t="s">
        <v>17</v>
      </c>
      <c r="K196">
        <v>1</v>
      </c>
      <c r="L196" s="2" t="s">
        <v>22</v>
      </c>
      <c r="M196">
        <v>1</v>
      </c>
      <c r="N196" s="2" t="s">
        <v>44</v>
      </c>
      <c r="O196">
        <v>1</v>
      </c>
    </row>
    <row r="197" spans="1:15" x14ac:dyDescent="0.35">
      <c r="A197" s="2" t="s">
        <v>55</v>
      </c>
      <c r="B197" s="2" t="s">
        <v>56</v>
      </c>
      <c r="C197" s="2" t="s">
        <v>50</v>
      </c>
      <c r="D197" s="2" t="s">
        <v>231</v>
      </c>
      <c r="E197">
        <v>2016</v>
      </c>
      <c r="F197" s="2" t="s">
        <v>6</v>
      </c>
      <c r="G197">
        <v>1</v>
      </c>
      <c r="H197" s="2" t="s">
        <v>7</v>
      </c>
      <c r="I197">
        <v>1</v>
      </c>
      <c r="J197" s="2" t="s">
        <v>16</v>
      </c>
      <c r="K197">
        <v>1</v>
      </c>
      <c r="L197" s="2" t="s">
        <v>22</v>
      </c>
      <c r="M197">
        <v>1</v>
      </c>
      <c r="N197" s="2" t="s">
        <v>37</v>
      </c>
      <c r="O197">
        <v>1</v>
      </c>
    </row>
    <row r="198" spans="1:15" x14ac:dyDescent="0.35">
      <c r="A198" s="2" t="s">
        <v>55</v>
      </c>
      <c r="B198" s="2" t="s">
        <v>56</v>
      </c>
      <c r="C198" s="2" t="s">
        <v>50</v>
      </c>
      <c r="D198" s="2" t="s">
        <v>231</v>
      </c>
      <c r="E198">
        <v>2016</v>
      </c>
      <c r="F198" s="2" t="s">
        <v>6</v>
      </c>
      <c r="G198">
        <v>1</v>
      </c>
      <c r="H198" s="2" t="s">
        <v>7</v>
      </c>
      <c r="I198">
        <v>1</v>
      </c>
      <c r="J198" s="2" t="s">
        <v>16</v>
      </c>
      <c r="K198">
        <v>1</v>
      </c>
      <c r="L198" s="2" t="s">
        <v>22</v>
      </c>
      <c r="M198">
        <v>1</v>
      </c>
      <c r="N198" s="2" t="s">
        <v>38</v>
      </c>
      <c r="O198">
        <v>1</v>
      </c>
    </row>
    <row r="199" spans="1:15" x14ac:dyDescent="0.35">
      <c r="A199" s="2" t="s">
        <v>55</v>
      </c>
      <c r="B199" s="2" t="s">
        <v>56</v>
      </c>
      <c r="C199" s="2" t="s">
        <v>50</v>
      </c>
      <c r="D199" s="2" t="s">
        <v>231</v>
      </c>
      <c r="E199">
        <v>2016</v>
      </c>
      <c r="F199" s="2" t="s">
        <v>6</v>
      </c>
      <c r="G199">
        <v>1</v>
      </c>
      <c r="H199" s="2" t="s">
        <v>7</v>
      </c>
      <c r="I199">
        <v>1</v>
      </c>
      <c r="J199" s="2" t="s">
        <v>16</v>
      </c>
      <c r="K199">
        <v>1</v>
      </c>
      <c r="L199" s="2" t="s">
        <v>22</v>
      </c>
      <c r="M199">
        <v>1</v>
      </c>
      <c r="N199" s="2" t="s">
        <v>39</v>
      </c>
      <c r="O199">
        <v>1</v>
      </c>
    </row>
    <row r="200" spans="1:15" x14ac:dyDescent="0.35">
      <c r="A200" s="2" t="s">
        <v>55</v>
      </c>
      <c r="B200" s="2" t="s">
        <v>56</v>
      </c>
      <c r="C200" s="2" t="s">
        <v>50</v>
      </c>
      <c r="D200" s="2" t="s">
        <v>231</v>
      </c>
      <c r="E200">
        <v>2016</v>
      </c>
      <c r="F200" s="2" t="s">
        <v>6</v>
      </c>
      <c r="G200">
        <v>1</v>
      </c>
      <c r="H200" s="2" t="s">
        <v>7</v>
      </c>
      <c r="I200">
        <v>1</v>
      </c>
      <c r="J200" s="2" t="s">
        <v>16</v>
      </c>
      <c r="K200">
        <v>1</v>
      </c>
      <c r="L200" s="2" t="s">
        <v>22</v>
      </c>
      <c r="M200">
        <v>1</v>
      </c>
      <c r="N200" s="2" t="s">
        <v>44</v>
      </c>
      <c r="O200">
        <v>1</v>
      </c>
    </row>
    <row r="201" spans="1:15" x14ac:dyDescent="0.35">
      <c r="A201" s="2" t="s">
        <v>55</v>
      </c>
      <c r="B201" s="2" t="s">
        <v>56</v>
      </c>
      <c r="C201" s="2" t="s">
        <v>50</v>
      </c>
      <c r="D201" s="2" t="s">
        <v>231</v>
      </c>
      <c r="E201">
        <v>2016</v>
      </c>
      <c r="F201" s="2" t="s">
        <v>6</v>
      </c>
      <c r="G201">
        <v>1</v>
      </c>
      <c r="H201" s="2" t="s">
        <v>7</v>
      </c>
      <c r="I201">
        <v>1</v>
      </c>
      <c r="J201" s="2" t="s">
        <v>16</v>
      </c>
      <c r="K201">
        <v>1</v>
      </c>
      <c r="L201" s="2" t="s">
        <v>22</v>
      </c>
      <c r="M201">
        <v>1</v>
      </c>
      <c r="N201" s="2" t="s">
        <v>46</v>
      </c>
      <c r="O201">
        <v>1</v>
      </c>
    </row>
    <row r="202" spans="1:15" x14ac:dyDescent="0.35">
      <c r="A202" s="2" t="s">
        <v>57</v>
      </c>
      <c r="B202" s="2" t="s">
        <v>56</v>
      </c>
      <c r="C202" s="2" t="s">
        <v>50</v>
      </c>
      <c r="D202" s="2" t="s">
        <v>231</v>
      </c>
      <c r="E202">
        <v>2017</v>
      </c>
      <c r="F202" s="2" t="s">
        <v>6</v>
      </c>
      <c r="G202">
        <v>1</v>
      </c>
      <c r="H202" s="2" t="s">
        <v>7</v>
      </c>
      <c r="I202">
        <v>1</v>
      </c>
      <c r="J202" s="2" t="s">
        <v>16</v>
      </c>
      <c r="K202">
        <v>1</v>
      </c>
      <c r="L202" s="2" t="s">
        <v>22</v>
      </c>
      <c r="M202">
        <v>1</v>
      </c>
      <c r="N202" s="2" t="s">
        <v>37</v>
      </c>
      <c r="O202">
        <v>1</v>
      </c>
    </row>
    <row r="203" spans="1:15" x14ac:dyDescent="0.35">
      <c r="A203" s="2" t="s">
        <v>57</v>
      </c>
      <c r="B203" s="2" t="s">
        <v>56</v>
      </c>
      <c r="C203" s="2" t="s">
        <v>50</v>
      </c>
      <c r="D203" s="2" t="s">
        <v>231</v>
      </c>
      <c r="E203">
        <v>2017</v>
      </c>
      <c r="F203" s="2" t="s">
        <v>6</v>
      </c>
      <c r="G203">
        <v>1</v>
      </c>
      <c r="H203" s="2" t="s">
        <v>7</v>
      </c>
      <c r="I203">
        <v>1</v>
      </c>
      <c r="J203" s="2" t="s">
        <v>16</v>
      </c>
      <c r="K203">
        <v>1</v>
      </c>
      <c r="L203" s="2" t="s">
        <v>22</v>
      </c>
      <c r="M203">
        <v>1</v>
      </c>
      <c r="N203" s="2" t="s">
        <v>38</v>
      </c>
      <c r="O203">
        <v>1</v>
      </c>
    </row>
    <row r="204" spans="1:15" x14ac:dyDescent="0.35">
      <c r="A204" s="2" t="s">
        <v>57</v>
      </c>
      <c r="B204" s="2" t="s">
        <v>56</v>
      </c>
      <c r="C204" s="2" t="s">
        <v>50</v>
      </c>
      <c r="D204" s="2" t="s">
        <v>231</v>
      </c>
      <c r="E204">
        <v>2017</v>
      </c>
      <c r="F204" s="2" t="s">
        <v>6</v>
      </c>
      <c r="G204">
        <v>1</v>
      </c>
      <c r="H204" s="2" t="s">
        <v>7</v>
      </c>
      <c r="I204">
        <v>1</v>
      </c>
      <c r="J204" s="2" t="s">
        <v>16</v>
      </c>
      <c r="K204">
        <v>1</v>
      </c>
      <c r="L204" s="2" t="s">
        <v>22</v>
      </c>
      <c r="M204">
        <v>1</v>
      </c>
      <c r="N204" s="2" t="s">
        <v>39</v>
      </c>
      <c r="O204">
        <v>1</v>
      </c>
    </row>
    <row r="205" spans="1:15" x14ac:dyDescent="0.35">
      <c r="A205" s="2" t="s">
        <v>85</v>
      </c>
      <c r="B205" s="2" t="s">
        <v>56</v>
      </c>
      <c r="C205" s="2" t="s">
        <v>50</v>
      </c>
      <c r="D205" s="2" t="s">
        <v>231</v>
      </c>
      <c r="E205">
        <v>2015</v>
      </c>
      <c r="F205" s="2" t="s">
        <v>6</v>
      </c>
      <c r="G205">
        <v>1</v>
      </c>
      <c r="H205" s="2" t="s">
        <v>7</v>
      </c>
      <c r="I205">
        <v>1</v>
      </c>
      <c r="J205" s="2" t="s">
        <v>16</v>
      </c>
      <c r="K205">
        <v>1</v>
      </c>
      <c r="L205" s="2" t="s">
        <v>22</v>
      </c>
      <c r="M205">
        <v>1</v>
      </c>
      <c r="N205" s="2" t="s">
        <v>37</v>
      </c>
      <c r="O205">
        <v>1</v>
      </c>
    </row>
    <row r="206" spans="1:15" x14ac:dyDescent="0.35">
      <c r="A206" s="2" t="s">
        <v>85</v>
      </c>
      <c r="B206" s="2" t="s">
        <v>56</v>
      </c>
      <c r="C206" s="2" t="s">
        <v>50</v>
      </c>
      <c r="D206" s="2" t="s">
        <v>231</v>
      </c>
      <c r="E206">
        <v>2015</v>
      </c>
      <c r="F206" s="2" t="s">
        <v>6</v>
      </c>
      <c r="G206">
        <v>1</v>
      </c>
      <c r="H206" s="2" t="s">
        <v>7</v>
      </c>
      <c r="I206">
        <v>1</v>
      </c>
      <c r="J206" s="2" t="s">
        <v>16</v>
      </c>
      <c r="K206">
        <v>1</v>
      </c>
      <c r="L206" s="2" t="s">
        <v>22</v>
      </c>
      <c r="M206">
        <v>1</v>
      </c>
      <c r="N206" s="2" t="s">
        <v>38</v>
      </c>
      <c r="O206">
        <v>1</v>
      </c>
    </row>
    <row r="207" spans="1:15" x14ac:dyDescent="0.35">
      <c r="A207" s="2" t="s">
        <v>85</v>
      </c>
      <c r="B207" s="2" t="s">
        <v>56</v>
      </c>
      <c r="C207" s="2" t="s">
        <v>50</v>
      </c>
      <c r="D207" s="2" t="s">
        <v>231</v>
      </c>
      <c r="E207">
        <v>2015</v>
      </c>
      <c r="F207" s="2" t="s">
        <v>6</v>
      </c>
      <c r="G207">
        <v>1</v>
      </c>
      <c r="H207" s="2" t="s">
        <v>7</v>
      </c>
      <c r="I207">
        <v>1</v>
      </c>
      <c r="J207" s="2" t="s">
        <v>16</v>
      </c>
      <c r="K207">
        <v>1</v>
      </c>
      <c r="L207" s="2" t="s">
        <v>22</v>
      </c>
      <c r="M207">
        <v>1</v>
      </c>
      <c r="N207" s="2" t="s">
        <v>39</v>
      </c>
      <c r="O207">
        <v>1</v>
      </c>
    </row>
    <row r="208" spans="1:15" x14ac:dyDescent="0.35">
      <c r="A208" s="2" t="s">
        <v>85</v>
      </c>
      <c r="B208" s="2" t="s">
        <v>56</v>
      </c>
      <c r="C208" s="2" t="s">
        <v>50</v>
      </c>
      <c r="D208" s="2" t="s">
        <v>231</v>
      </c>
      <c r="E208">
        <v>2015</v>
      </c>
      <c r="F208" s="2" t="s">
        <v>6</v>
      </c>
      <c r="G208">
        <v>1</v>
      </c>
      <c r="H208" s="2" t="s">
        <v>7</v>
      </c>
      <c r="I208">
        <v>1</v>
      </c>
      <c r="J208" s="2" t="s">
        <v>16</v>
      </c>
      <c r="K208">
        <v>1</v>
      </c>
      <c r="L208" s="2" t="s">
        <v>22</v>
      </c>
      <c r="M208">
        <v>1</v>
      </c>
      <c r="N208" s="2" t="s">
        <v>40</v>
      </c>
      <c r="O208">
        <v>1</v>
      </c>
    </row>
    <row r="209" spans="1:15" x14ac:dyDescent="0.35">
      <c r="A209" s="2" t="s">
        <v>85</v>
      </c>
      <c r="B209" s="2" t="s">
        <v>56</v>
      </c>
      <c r="C209" s="2" t="s">
        <v>50</v>
      </c>
      <c r="D209" s="2" t="s">
        <v>231</v>
      </c>
      <c r="E209">
        <v>2015</v>
      </c>
      <c r="F209" s="2" t="s">
        <v>6</v>
      </c>
      <c r="G209">
        <v>1</v>
      </c>
      <c r="H209" s="2" t="s">
        <v>7</v>
      </c>
      <c r="I209">
        <v>1</v>
      </c>
      <c r="J209" s="2" t="s">
        <v>16</v>
      </c>
      <c r="K209">
        <v>1</v>
      </c>
      <c r="L209" s="2" t="s">
        <v>22</v>
      </c>
      <c r="M209">
        <v>1</v>
      </c>
      <c r="N209" s="2" t="s">
        <v>41</v>
      </c>
      <c r="O209">
        <v>1</v>
      </c>
    </row>
    <row r="210" spans="1:15" x14ac:dyDescent="0.35">
      <c r="A210" s="2" t="s">
        <v>85</v>
      </c>
      <c r="B210" s="2" t="s">
        <v>56</v>
      </c>
      <c r="C210" s="2" t="s">
        <v>50</v>
      </c>
      <c r="D210" s="2" t="s">
        <v>231</v>
      </c>
      <c r="E210">
        <v>2015</v>
      </c>
      <c r="F210" s="2" t="s">
        <v>6</v>
      </c>
      <c r="G210">
        <v>1</v>
      </c>
      <c r="H210" s="2" t="s">
        <v>7</v>
      </c>
      <c r="I210">
        <v>1</v>
      </c>
      <c r="J210" s="2" t="s">
        <v>16</v>
      </c>
      <c r="K210">
        <v>1</v>
      </c>
      <c r="L210" s="2" t="s">
        <v>22</v>
      </c>
      <c r="M210">
        <v>1</v>
      </c>
      <c r="N210" s="2" t="s">
        <v>44</v>
      </c>
      <c r="O210">
        <v>1</v>
      </c>
    </row>
    <row r="211" spans="1:15" x14ac:dyDescent="0.35">
      <c r="A211" s="2" t="s">
        <v>87</v>
      </c>
      <c r="B211" s="2" t="s">
        <v>56</v>
      </c>
      <c r="C211" s="2" t="s">
        <v>50</v>
      </c>
      <c r="D211" s="2" t="s">
        <v>231</v>
      </c>
      <c r="E211">
        <v>2019</v>
      </c>
      <c r="F211" s="2" t="s">
        <v>6</v>
      </c>
      <c r="G211">
        <v>1</v>
      </c>
      <c r="H211" s="2" t="s">
        <v>7</v>
      </c>
      <c r="I211">
        <v>1</v>
      </c>
      <c r="J211" s="2" t="s">
        <v>16</v>
      </c>
      <c r="K211">
        <v>1</v>
      </c>
      <c r="L211" s="2" t="s">
        <v>22</v>
      </c>
      <c r="M211">
        <v>1</v>
      </c>
      <c r="N211" s="2" t="s">
        <v>37</v>
      </c>
      <c r="O211">
        <v>1</v>
      </c>
    </row>
    <row r="212" spans="1:15" x14ac:dyDescent="0.35">
      <c r="A212" s="2" t="s">
        <v>87</v>
      </c>
      <c r="B212" s="2" t="s">
        <v>56</v>
      </c>
      <c r="C212" s="2" t="s">
        <v>50</v>
      </c>
      <c r="D212" s="2" t="s">
        <v>231</v>
      </c>
      <c r="E212">
        <v>2019</v>
      </c>
      <c r="F212" s="2" t="s">
        <v>6</v>
      </c>
      <c r="G212">
        <v>1</v>
      </c>
      <c r="H212" s="2" t="s">
        <v>7</v>
      </c>
      <c r="I212">
        <v>1</v>
      </c>
      <c r="J212" s="2" t="s">
        <v>16</v>
      </c>
      <c r="K212">
        <v>1</v>
      </c>
      <c r="L212" s="2" t="s">
        <v>22</v>
      </c>
      <c r="M212">
        <v>1</v>
      </c>
      <c r="N212" s="2" t="s">
        <v>38</v>
      </c>
      <c r="O212">
        <v>1</v>
      </c>
    </row>
    <row r="213" spans="1:15" x14ac:dyDescent="0.35">
      <c r="A213" s="2" t="s">
        <v>87</v>
      </c>
      <c r="B213" s="2" t="s">
        <v>56</v>
      </c>
      <c r="C213" s="2" t="s">
        <v>50</v>
      </c>
      <c r="D213" s="2" t="s">
        <v>231</v>
      </c>
      <c r="E213">
        <v>2019</v>
      </c>
      <c r="F213" s="2" t="s">
        <v>6</v>
      </c>
      <c r="G213">
        <v>1</v>
      </c>
      <c r="H213" s="2" t="s">
        <v>7</v>
      </c>
      <c r="I213">
        <v>1</v>
      </c>
      <c r="J213" s="2" t="s">
        <v>16</v>
      </c>
      <c r="K213">
        <v>1</v>
      </c>
      <c r="L213" s="2" t="s">
        <v>22</v>
      </c>
      <c r="M213">
        <v>1</v>
      </c>
      <c r="N213" s="2" t="s">
        <v>40</v>
      </c>
      <c r="O213">
        <v>1</v>
      </c>
    </row>
    <row r="214" spans="1:15" x14ac:dyDescent="0.35">
      <c r="A214" s="2" t="s">
        <v>87</v>
      </c>
      <c r="B214" s="2" t="s">
        <v>56</v>
      </c>
      <c r="C214" s="2" t="s">
        <v>50</v>
      </c>
      <c r="D214" s="2" t="s">
        <v>231</v>
      </c>
      <c r="E214">
        <v>2019</v>
      </c>
      <c r="F214" s="2" t="s">
        <v>6</v>
      </c>
      <c r="G214">
        <v>1</v>
      </c>
      <c r="H214" s="2" t="s">
        <v>7</v>
      </c>
      <c r="I214">
        <v>1</v>
      </c>
      <c r="J214" s="2" t="s">
        <v>16</v>
      </c>
      <c r="K214">
        <v>1</v>
      </c>
      <c r="L214" s="2" t="s">
        <v>22</v>
      </c>
      <c r="M214">
        <v>1</v>
      </c>
      <c r="N214" s="2" t="s">
        <v>46</v>
      </c>
      <c r="O214">
        <v>1</v>
      </c>
    </row>
    <row r="215" spans="1:15" x14ac:dyDescent="0.35">
      <c r="A215" s="2" t="s">
        <v>107</v>
      </c>
      <c r="B215" s="2" t="s">
        <v>56</v>
      </c>
      <c r="C215" s="2" t="s">
        <v>50</v>
      </c>
      <c r="D215" s="2" t="s">
        <v>231</v>
      </c>
      <c r="E215">
        <v>2017</v>
      </c>
      <c r="F215" s="2" t="s">
        <v>6</v>
      </c>
      <c r="G215">
        <v>1</v>
      </c>
      <c r="H215" s="2" t="s">
        <v>7</v>
      </c>
      <c r="I215">
        <v>1</v>
      </c>
      <c r="J215" s="2" t="s">
        <v>16</v>
      </c>
      <c r="K215">
        <v>1</v>
      </c>
      <c r="L215" s="2" t="s">
        <v>22</v>
      </c>
      <c r="M215">
        <v>1</v>
      </c>
      <c r="N215" s="2" t="s">
        <v>35</v>
      </c>
      <c r="O215">
        <v>1</v>
      </c>
    </row>
    <row r="216" spans="1:15" x14ac:dyDescent="0.35">
      <c r="A216" s="2" t="s">
        <v>107</v>
      </c>
      <c r="B216" s="2" t="s">
        <v>56</v>
      </c>
      <c r="C216" s="2" t="s">
        <v>50</v>
      </c>
      <c r="D216" s="2" t="s">
        <v>231</v>
      </c>
      <c r="E216">
        <v>2017</v>
      </c>
      <c r="F216" s="2" t="s">
        <v>6</v>
      </c>
      <c r="G216">
        <v>1</v>
      </c>
      <c r="H216" s="2" t="s">
        <v>7</v>
      </c>
      <c r="I216">
        <v>1</v>
      </c>
      <c r="J216" s="2" t="s">
        <v>16</v>
      </c>
      <c r="K216">
        <v>1</v>
      </c>
      <c r="L216" s="2" t="s">
        <v>22</v>
      </c>
      <c r="M216">
        <v>1</v>
      </c>
      <c r="N216" s="2" t="s">
        <v>38</v>
      </c>
      <c r="O216">
        <v>1</v>
      </c>
    </row>
    <row r="217" spans="1:15" x14ac:dyDescent="0.35">
      <c r="A217" s="2" t="s">
        <v>107</v>
      </c>
      <c r="B217" s="2" t="s">
        <v>56</v>
      </c>
      <c r="C217" s="2" t="s">
        <v>50</v>
      </c>
      <c r="D217" s="2" t="s">
        <v>231</v>
      </c>
      <c r="E217">
        <v>2017</v>
      </c>
      <c r="F217" s="2" t="s">
        <v>6</v>
      </c>
      <c r="G217">
        <v>1</v>
      </c>
      <c r="H217" s="2" t="s">
        <v>7</v>
      </c>
      <c r="I217">
        <v>1</v>
      </c>
      <c r="J217" s="2" t="s">
        <v>16</v>
      </c>
      <c r="K217">
        <v>1</v>
      </c>
      <c r="L217" s="2" t="s">
        <v>22</v>
      </c>
      <c r="M217">
        <v>1</v>
      </c>
      <c r="N217" s="2" t="s">
        <v>41</v>
      </c>
      <c r="O217">
        <v>1</v>
      </c>
    </row>
    <row r="218" spans="1:15" x14ac:dyDescent="0.35">
      <c r="A218" s="2" t="s">
        <v>107</v>
      </c>
      <c r="B218" s="2" t="s">
        <v>56</v>
      </c>
      <c r="C218" s="2" t="s">
        <v>50</v>
      </c>
      <c r="D218" s="2" t="s">
        <v>231</v>
      </c>
      <c r="E218">
        <v>2017</v>
      </c>
      <c r="F218" s="2" t="s">
        <v>6</v>
      </c>
      <c r="G218">
        <v>1</v>
      </c>
      <c r="H218" s="2" t="s">
        <v>7</v>
      </c>
      <c r="I218">
        <v>1</v>
      </c>
      <c r="J218" s="2" t="s">
        <v>16</v>
      </c>
      <c r="K218">
        <v>1</v>
      </c>
      <c r="L218" s="2" t="s">
        <v>22</v>
      </c>
      <c r="M218">
        <v>1</v>
      </c>
      <c r="N218" s="2" t="s">
        <v>42</v>
      </c>
      <c r="O218">
        <v>1</v>
      </c>
    </row>
    <row r="219" spans="1:15" x14ac:dyDescent="0.35">
      <c r="A219" s="2" t="s">
        <v>107</v>
      </c>
      <c r="B219" s="2" t="s">
        <v>56</v>
      </c>
      <c r="C219" s="2" t="s">
        <v>50</v>
      </c>
      <c r="D219" s="2" t="s">
        <v>231</v>
      </c>
      <c r="E219">
        <v>2017</v>
      </c>
      <c r="F219" s="2" t="s">
        <v>6</v>
      </c>
      <c r="G219">
        <v>1</v>
      </c>
      <c r="H219" s="2" t="s">
        <v>7</v>
      </c>
      <c r="I219">
        <v>1</v>
      </c>
      <c r="J219" s="2" t="s">
        <v>16</v>
      </c>
      <c r="K219">
        <v>1</v>
      </c>
      <c r="L219" s="2" t="s">
        <v>22</v>
      </c>
      <c r="M219">
        <v>1</v>
      </c>
      <c r="N219" s="2" t="s">
        <v>44</v>
      </c>
      <c r="O219">
        <v>1</v>
      </c>
    </row>
    <row r="220" spans="1:15" x14ac:dyDescent="0.35">
      <c r="A220" s="2" t="s">
        <v>108</v>
      </c>
      <c r="B220" s="2" t="s">
        <v>56</v>
      </c>
      <c r="C220" s="2" t="s">
        <v>50</v>
      </c>
      <c r="D220" s="2" t="s">
        <v>231</v>
      </c>
      <c r="E220">
        <v>2017</v>
      </c>
      <c r="F220" s="2" t="s">
        <v>6</v>
      </c>
      <c r="G220">
        <v>1</v>
      </c>
      <c r="H220" s="2" t="s">
        <v>7</v>
      </c>
      <c r="I220">
        <v>1</v>
      </c>
      <c r="J220" s="2" t="s">
        <v>16</v>
      </c>
      <c r="K220">
        <v>1</v>
      </c>
      <c r="L220" s="2" t="s">
        <v>22</v>
      </c>
      <c r="M220">
        <v>1</v>
      </c>
      <c r="N220" s="2" t="s">
        <v>35</v>
      </c>
      <c r="O220">
        <v>1</v>
      </c>
    </row>
    <row r="221" spans="1:15" x14ac:dyDescent="0.35">
      <c r="A221" s="2" t="s">
        <v>108</v>
      </c>
      <c r="B221" s="2" t="s">
        <v>56</v>
      </c>
      <c r="C221" s="2" t="s">
        <v>50</v>
      </c>
      <c r="D221" s="2" t="s">
        <v>231</v>
      </c>
      <c r="E221">
        <v>2017</v>
      </c>
      <c r="F221" s="2" t="s">
        <v>6</v>
      </c>
      <c r="G221">
        <v>1</v>
      </c>
      <c r="H221" s="2" t="s">
        <v>7</v>
      </c>
      <c r="I221">
        <v>1</v>
      </c>
      <c r="J221" s="2" t="s">
        <v>16</v>
      </c>
      <c r="K221">
        <v>1</v>
      </c>
      <c r="L221" s="2" t="s">
        <v>22</v>
      </c>
      <c r="M221">
        <v>1</v>
      </c>
      <c r="N221" s="2" t="s">
        <v>38</v>
      </c>
      <c r="O221">
        <v>1</v>
      </c>
    </row>
    <row r="222" spans="1:15" x14ac:dyDescent="0.35">
      <c r="A222" s="2" t="s">
        <v>108</v>
      </c>
      <c r="B222" s="2" t="s">
        <v>56</v>
      </c>
      <c r="C222" s="2" t="s">
        <v>50</v>
      </c>
      <c r="D222" s="2" t="s">
        <v>231</v>
      </c>
      <c r="E222">
        <v>2017</v>
      </c>
      <c r="F222" s="2" t="s">
        <v>6</v>
      </c>
      <c r="G222">
        <v>1</v>
      </c>
      <c r="H222" s="2" t="s">
        <v>7</v>
      </c>
      <c r="I222">
        <v>1</v>
      </c>
      <c r="J222" s="2" t="s">
        <v>16</v>
      </c>
      <c r="K222">
        <v>1</v>
      </c>
      <c r="L222" s="2" t="s">
        <v>22</v>
      </c>
      <c r="M222">
        <v>1</v>
      </c>
      <c r="N222" s="2" t="s">
        <v>41</v>
      </c>
      <c r="O222">
        <v>1</v>
      </c>
    </row>
    <row r="223" spans="1:15" x14ac:dyDescent="0.35">
      <c r="A223" s="2" t="s">
        <v>108</v>
      </c>
      <c r="B223" s="2" t="s">
        <v>56</v>
      </c>
      <c r="C223" s="2" t="s">
        <v>50</v>
      </c>
      <c r="D223" s="2" t="s">
        <v>231</v>
      </c>
      <c r="E223">
        <v>2017</v>
      </c>
      <c r="F223" s="2" t="s">
        <v>6</v>
      </c>
      <c r="G223">
        <v>1</v>
      </c>
      <c r="H223" s="2" t="s">
        <v>7</v>
      </c>
      <c r="I223">
        <v>1</v>
      </c>
      <c r="J223" s="2" t="s">
        <v>16</v>
      </c>
      <c r="K223">
        <v>1</v>
      </c>
      <c r="L223" s="2" t="s">
        <v>22</v>
      </c>
      <c r="M223">
        <v>1</v>
      </c>
      <c r="N223" s="2" t="s">
        <v>42</v>
      </c>
      <c r="O223">
        <v>1</v>
      </c>
    </row>
    <row r="224" spans="1:15" x14ac:dyDescent="0.35">
      <c r="A224" s="2" t="s">
        <v>108</v>
      </c>
      <c r="B224" s="2" t="s">
        <v>56</v>
      </c>
      <c r="C224" s="2" t="s">
        <v>50</v>
      </c>
      <c r="D224" s="2" t="s">
        <v>231</v>
      </c>
      <c r="E224">
        <v>2017</v>
      </c>
      <c r="F224" s="2" t="s">
        <v>6</v>
      </c>
      <c r="G224">
        <v>1</v>
      </c>
      <c r="H224" s="2" t="s">
        <v>7</v>
      </c>
      <c r="I224">
        <v>1</v>
      </c>
      <c r="J224" s="2" t="s">
        <v>16</v>
      </c>
      <c r="K224">
        <v>1</v>
      </c>
      <c r="L224" s="2" t="s">
        <v>22</v>
      </c>
      <c r="M224">
        <v>1</v>
      </c>
      <c r="N224" s="2" t="s">
        <v>44</v>
      </c>
      <c r="O224">
        <v>1</v>
      </c>
    </row>
    <row r="225" spans="1:15" x14ac:dyDescent="0.35">
      <c r="A225" s="2" t="s">
        <v>109</v>
      </c>
      <c r="B225" s="2" t="s">
        <v>56</v>
      </c>
      <c r="C225" s="2" t="s">
        <v>50</v>
      </c>
      <c r="D225" s="2" t="s">
        <v>231</v>
      </c>
      <c r="E225">
        <v>2017</v>
      </c>
      <c r="F225" s="2" t="s">
        <v>6</v>
      </c>
      <c r="G225">
        <v>1</v>
      </c>
      <c r="H225" s="2" t="s">
        <v>7</v>
      </c>
      <c r="I225">
        <v>1</v>
      </c>
      <c r="J225" s="2" t="s">
        <v>16</v>
      </c>
      <c r="K225">
        <v>1</v>
      </c>
      <c r="L225" s="2" t="s">
        <v>22</v>
      </c>
      <c r="M225">
        <v>1</v>
      </c>
      <c r="N225" s="2" t="s">
        <v>37</v>
      </c>
      <c r="O225">
        <v>1</v>
      </c>
    </row>
    <row r="226" spans="1:15" x14ac:dyDescent="0.35">
      <c r="A226" s="2" t="s">
        <v>109</v>
      </c>
      <c r="B226" s="2" t="s">
        <v>56</v>
      </c>
      <c r="C226" s="2" t="s">
        <v>50</v>
      </c>
      <c r="D226" s="2" t="s">
        <v>231</v>
      </c>
      <c r="E226">
        <v>2017</v>
      </c>
      <c r="F226" s="2" t="s">
        <v>6</v>
      </c>
      <c r="G226">
        <v>1</v>
      </c>
      <c r="H226" s="2" t="s">
        <v>7</v>
      </c>
      <c r="I226">
        <v>1</v>
      </c>
      <c r="J226" s="2" t="s">
        <v>16</v>
      </c>
      <c r="K226">
        <v>1</v>
      </c>
      <c r="L226" s="2" t="s">
        <v>22</v>
      </c>
      <c r="M226">
        <v>1</v>
      </c>
      <c r="N226" s="2" t="s">
        <v>38</v>
      </c>
      <c r="O226">
        <v>1</v>
      </c>
    </row>
    <row r="227" spans="1:15" x14ac:dyDescent="0.35">
      <c r="A227" s="2" t="s">
        <v>109</v>
      </c>
      <c r="B227" s="2" t="s">
        <v>56</v>
      </c>
      <c r="C227" s="2" t="s">
        <v>50</v>
      </c>
      <c r="D227" s="2" t="s">
        <v>231</v>
      </c>
      <c r="E227">
        <v>2017</v>
      </c>
      <c r="F227" s="2" t="s">
        <v>6</v>
      </c>
      <c r="G227">
        <v>1</v>
      </c>
      <c r="H227" s="2" t="s">
        <v>7</v>
      </c>
      <c r="I227">
        <v>1</v>
      </c>
      <c r="J227" s="2" t="s">
        <v>16</v>
      </c>
      <c r="K227">
        <v>1</v>
      </c>
      <c r="L227" s="2" t="s">
        <v>22</v>
      </c>
      <c r="M227">
        <v>1</v>
      </c>
      <c r="N227" s="2" t="s">
        <v>39</v>
      </c>
      <c r="O227">
        <v>1</v>
      </c>
    </row>
    <row r="228" spans="1:15" x14ac:dyDescent="0.35">
      <c r="A228" s="2" t="s">
        <v>111</v>
      </c>
      <c r="B228" s="2" t="s">
        <v>56</v>
      </c>
      <c r="C228" s="2" t="s">
        <v>50</v>
      </c>
      <c r="D228" s="2" t="s">
        <v>231</v>
      </c>
      <c r="E228">
        <v>2012</v>
      </c>
      <c r="F228" s="2" t="s">
        <v>6</v>
      </c>
      <c r="G228">
        <v>1</v>
      </c>
      <c r="H228" s="2" t="s">
        <v>7</v>
      </c>
      <c r="I228">
        <v>1</v>
      </c>
      <c r="J228" s="2" t="s">
        <v>16</v>
      </c>
      <c r="K228">
        <v>1</v>
      </c>
      <c r="L228" s="2" t="s">
        <v>22</v>
      </c>
      <c r="M228">
        <v>1</v>
      </c>
      <c r="N228" s="2" t="s">
        <v>33</v>
      </c>
      <c r="O228">
        <v>1</v>
      </c>
    </row>
    <row r="229" spans="1:15" x14ac:dyDescent="0.35">
      <c r="A229" s="2" t="s">
        <v>111</v>
      </c>
      <c r="B229" s="2" t="s">
        <v>56</v>
      </c>
      <c r="C229" s="2" t="s">
        <v>50</v>
      </c>
      <c r="D229" s="2" t="s">
        <v>231</v>
      </c>
      <c r="E229">
        <v>2012</v>
      </c>
      <c r="F229" s="2" t="s">
        <v>6</v>
      </c>
      <c r="G229">
        <v>1</v>
      </c>
      <c r="H229" s="2" t="s">
        <v>7</v>
      </c>
      <c r="I229">
        <v>1</v>
      </c>
      <c r="J229" s="2" t="s">
        <v>16</v>
      </c>
      <c r="K229">
        <v>1</v>
      </c>
      <c r="L229" s="2" t="s">
        <v>22</v>
      </c>
      <c r="M229">
        <v>1</v>
      </c>
      <c r="N229" s="2" t="s">
        <v>44</v>
      </c>
      <c r="O229">
        <v>1</v>
      </c>
    </row>
    <row r="230" spans="1:15" x14ac:dyDescent="0.35">
      <c r="A230" s="2" t="s">
        <v>122</v>
      </c>
      <c r="B230" s="2" t="s">
        <v>56</v>
      </c>
      <c r="C230" s="2" t="s">
        <v>50</v>
      </c>
      <c r="D230" s="2" t="s">
        <v>231</v>
      </c>
      <c r="E230">
        <v>2021</v>
      </c>
      <c r="F230" s="2" t="s">
        <v>6</v>
      </c>
      <c r="G230">
        <v>1</v>
      </c>
      <c r="H230" s="2" t="s">
        <v>7</v>
      </c>
      <c r="I230">
        <v>1</v>
      </c>
      <c r="J230" s="2" t="s">
        <v>16</v>
      </c>
      <c r="K230">
        <v>1</v>
      </c>
      <c r="L230" s="2" t="s">
        <v>22</v>
      </c>
      <c r="M230">
        <v>1</v>
      </c>
      <c r="N230" s="2" t="s">
        <v>37</v>
      </c>
      <c r="O230">
        <v>1</v>
      </c>
    </row>
    <row r="231" spans="1:15" x14ac:dyDescent="0.35">
      <c r="A231" s="2" t="s">
        <v>122</v>
      </c>
      <c r="B231" s="2" t="s">
        <v>56</v>
      </c>
      <c r="C231" s="2" t="s">
        <v>50</v>
      </c>
      <c r="D231" s="2" t="s">
        <v>231</v>
      </c>
      <c r="E231">
        <v>2021</v>
      </c>
      <c r="F231" s="2" t="s">
        <v>6</v>
      </c>
      <c r="G231">
        <v>1</v>
      </c>
      <c r="H231" s="2" t="s">
        <v>7</v>
      </c>
      <c r="I231">
        <v>1</v>
      </c>
      <c r="J231" s="2" t="s">
        <v>16</v>
      </c>
      <c r="K231">
        <v>1</v>
      </c>
      <c r="L231" s="2" t="s">
        <v>22</v>
      </c>
      <c r="M231">
        <v>1</v>
      </c>
      <c r="N231" s="2" t="s">
        <v>38</v>
      </c>
      <c r="O231">
        <v>1</v>
      </c>
    </row>
    <row r="232" spans="1:15" x14ac:dyDescent="0.35">
      <c r="A232" s="2" t="s">
        <v>122</v>
      </c>
      <c r="B232" s="2" t="s">
        <v>56</v>
      </c>
      <c r="C232" s="2" t="s">
        <v>50</v>
      </c>
      <c r="D232" s="2" t="s">
        <v>231</v>
      </c>
      <c r="E232">
        <v>2021</v>
      </c>
      <c r="F232" s="2" t="s">
        <v>6</v>
      </c>
      <c r="G232">
        <v>1</v>
      </c>
      <c r="H232" s="2" t="s">
        <v>7</v>
      </c>
      <c r="I232">
        <v>1</v>
      </c>
      <c r="J232" s="2" t="s">
        <v>16</v>
      </c>
      <c r="K232">
        <v>1</v>
      </c>
      <c r="L232" s="2" t="s">
        <v>22</v>
      </c>
      <c r="M232">
        <v>1</v>
      </c>
      <c r="N232" s="2" t="s">
        <v>39</v>
      </c>
      <c r="O232">
        <v>1</v>
      </c>
    </row>
    <row r="233" spans="1:15" x14ac:dyDescent="0.35">
      <c r="A233" s="2" t="s">
        <v>122</v>
      </c>
      <c r="B233" s="2" t="s">
        <v>56</v>
      </c>
      <c r="C233" s="2" t="s">
        <v>50</v>
      </c>
      <c r="D233" s="2" t="s">
        <v>231</v>
      </c>
      <c r="E233">
        <v>2021</v>
      </c>
      <c r="F233" s="2" t="s">
        <v>6</v>
      </c>
      <c r="G233">
        <v>1</v>
      </c>
      <c r="H233" s="2" t="s">
        <v>7</v>
      </c>
      <c r="I233">
        <v>1</v>
      </c>
      <c r="J233" s="2" t="s">
        <v>16</v>
      </c>
      <c r="K233">
        <v>1</v>
      </c>
      <c r="L233" s="2" t="s">
        <v>22</v>
      </c>
      <c r="M233">
        <v>1</v>
      </c>
      <c r="N233" s="2" t="s">
        <v>40</v>
      </c>
      <c r="O233">
        <v>1</v>
      </c>
    </row>
    <row r="234" spans="1:15" x14ac:dyDescent="0.35">
      <c r="A234" s="2" t="s">
        <v>125</v>
      </c>
      <c r="B234" s="2" t="s">
        <v>56</v>
      </c>
      <c r="C234" s="2" t="s">
        <v>50</v>
      </c>
      <c r="D234" s="2" t="s">
        <v>231</v>
      </c>
      <c r="E234">
        <v>2021</v>
      </c>
      <c r="F234" s="2" t="s">
        <v>6</v>
      </c>
      <c r="G234">
        <v>1</v>
      </c>
      <c r="H234" s="2" t="s">
        <v>7</v>
      </c>
      <c r="I234">
        <v>1</v>
      </c>
      <c r="J234" s="2" t="s">
        <v>16</v>
      </c>
      <c r="K234">
        <v>1</v>
      </c>
      <c r="L234" s="2" t="s">
        <v>22</v>
      </c>
      <c r="M234">
        <v>1</v>
      </c>
      <c r="N234" s="2" t="s">
        <v>37</v>
      </c>
      <c r="O234">
        <v>1</v>
      </c>
    </row>
    <row r="235" spans="1:15" x14ac:dyDescent="0.35">
      <c r="A235" s="2" t="s">
        <v>125</v>
      </c>
      <c r="B235" s="2" t="s">
        <v>56</v>
      </c>
      <c r="C235" s="2" t="s">
        <v>50</v>
      </c>
      <c r="D235" s="2" t="s">
        <v>231</v>
      </c>
      <c r="E235">
        <v>2021</v>
      </c>
      <c r="F235" s="2" t="s">
        <v>6</v>
      </c>
      <c r="G235">
        <v>1</v>
      </c>
      <c r="H235" s="2" t="s">
        <v>7</v>
      </c>
      <c r="I235">
        <v>1</v>
      </c>
      <c r="J235" s="2" t="s">
        <v>16</v>
      </c>
      <c r="K235">
        <v>1</v>
      </c>
      <c r="L235" s="2" t="s">
        <v>22</v>
      </c>
      <c r="M235">
        <v>1</v>
      </c>
      <c r="N235" s="2" t="s">
        <v>38</v>
      </c>
      <c r="O235">
        <v>1</v>
      </c>
    </row>
    <row r="236" spans="1:15" x14ac:dyDescent="0.35">
      <c r="A236" s="2" t="s">
        <v>125</v>
      </c>
      <c r="B236" s="2" t="s">
        <v>56</v>
      </c>
      <c r="C236" s="2" t="s">
        <v>50</v>
      </c>
      <c r="D236" s="2" t="s">
        <v>231</v>
      </c>
      <c r="E236">
        <v>2021</v>
      </c>
      <c r="F236" s="2" t="s">
        <v>6</v>
      </c>
      <c r="G236">
        <v>1</v>
      </c>
      <c r="H236" s="2" t="s">
        <v>7</v>
      </c>
      <c r="I236">
        <v>1</v>
      </c>
      <c r="J236" s="2" t="s">
        <v>16</v>
      </c>
      <c r="K236">
        <v>1</v>
      </c>
      <c r="L236" s="2" t="s">
        <v>22</v>
      </c>
      <c r="M236">
        <v>1</v>
      </c>
      <c r="N236" s="2" t="s">
        <v>40</v>
      </c>
      <c r="O236">
        <v>1</v>
      </c>
    </row>
    <row r="237" spans="1:15" x14ac:dyDescent="0.35">
      <c r="A237" s="2" t="s">
        <v>125</v>
      </c>
      <c r="B237" s="2" t="s">
        <v>56</v>
      </c>
      <c r="C237" s="2" t="s">
        <v>50</v>
      </c>
      <c r="D237" s="2" t="s">
        <v>231</v>
      </c>
      <c r="E237">
        <v>2021</v>
      </c>
      <c r="F237" s="2" t="s">
        <v>6</v>
      </c>
      <c r="G237">
        <v>1</v>
      </c>
      <c r="H237" s="2" t="s">
        <v>7</v>
      </c>
      <c r="I237">
        <v>1</v>
      </c>
      <c r="J237" s="2" t="s">
        <v>16</v>
      </c>
      <c r="K237">
        <v>1</v>
      </c>
      <c r="L237" s="2" t="s">
        <v>22</v>
      </c>
      <c r="M237">
        <v>1</v>
      </c>
      <c r="N237" s="2" t="s">
        <v>44</v>
      </c>
      <c r="O237">
        <v>1</v>
      </c>
    </row>
    <row r="238" spans="1:15" x14ac:dyDescent="0.35">
      <c r="A238" s="2" t="s">
        <v>126</v>
      </c>
      <c r="B238" s="2" t="s">
        <v>56</v>
      </c>
      <c r="C238" s="2" t="s">
        <v>50</v>
      </c>
      <c r="D238" s="2" t="s">
        <v>231</v>
      </c>
      <c r="E238">
        <v>2018</v>
      </c>
      <c r="F238" s="2" t="s">
        <v>6</v>
      </c>
      <c r="G238">
        <v>1</v>
      </c>
      <c r="H238" s="2" t="s">
        <v>7</v>
      </c>
      <c r="I238">
        <v>1</v>
      </c>
      <c r="J238" s="2" t="s">
        <v>16</v>
      </c>
      <c r="K238">
        <v>1</v>
      </c>
      <c r="L238" s="2" t="s">
        <v>22</v>
      </c>
      <c r="M238">
        <v>1</v>
      </c>
      <c r="N238" s="2" t="s">
        <v>35</v>
      </c>
      <c r="O238">
        <v>1</v>
      </c>
    </row>
    <row r="239" spans="1:15" x14ac:dyDescent="0.35">
      <c r="A239" s="2" t="s">
        <v>126</v>
      </c>
      <c r="B239" s="2" t="s">
        <v>56</v>
      </c>
      <c r="C239" s="2" t="s">
        <v>50</v>
      </c>
      <c r="D239" s="2" t="s">
        <v>231</v>
      </c>
      <c r="E239">
        <v>2018</v>
      </c>
      <c r="F239" s="2" t="s">
        <v>6</v>
      </c>
      <c r="G239">
        <v>1</v>
      </c>
      <c r="H239" s="2" t="s">
        <v>7</v>
      </c>
      <c r="I239">
        <v>1</v>
      </c>
      <c r="J239" s="2" t="s">
        <v>16</v>
      </c>
      <c r="K239">
        <v>1</v>
      </c>
      <c r="L239" s="2" t="s">
        <v>22</v>
      </c>
      <c r="M239">
        <v>1</v>
      </c>
      <c r="N239" s="2" t="s">
        <v>37</v>
      </c>
      <c r="O239">
        <v>1</v>
      </c>
    </row>
    <row r="240" spans="1:15" x14ac:dyDescent="0.35">
      <c r="A240" s="2" t="s">
        <v>126</v>
      </c>
      <c r="B240" s="2" t="s">
        <v>56</v>
      </c>
      <c r="C240" s="2" t="s">
        <v>50</v>
      </c>
      <c r="D240" s="2" t="s">
        <v>231</v>
      </c>
      <c r="E240">
        <v>2018</v>
      </c>
      <c r="F240" s="2" t="s">
        <v>6</v>
      </c>
      <c r="G240">
        <v>1</v>
      </c>
      <c r="H240" s="2" t="s">
        <v>7</v>
      </c>
      <c r="I240">
        <v>1</v>
      </c>
      <c r="J240" s="2" t="s">
        <v>16</v>
      </c>
      <c r="K240">
        <v>1</v>
      </c>
      <c r="L240" s="2" t="s">
        <v>22</v>
      </c>
      <c r="M240">
        <v>1</v>
      </c>
      <c r="N240" s="2" t="s">
        <v>38</v>
      </c>
      <c r="O240">
        <v>1</v>
      </c>
    </row>
    <row r="241" spans="1:15" x14ac:dyDescent="0.35">
      <c r="A241" s="2" t="s">
        <v>126</v>
      </c>
      <c r="B241" s="2" t="s">
        <v>56</v>
      </c>
      <c r="C241" s="2" t="s">
        <v>50</v>
      </c>
      <c r="D241" s="2" t="s">
        <v>231</v>
      </c>
      <c r="E241">
        <v>2018</v>
      </c>
      <c r="F241" s="2" t="s">
        <v>6</v>
      </c>
      <c r="G241">
        <v>1</v>
      </c>
      <c r="H241" s="2" t="s">
        <v>7</v>
      </c>
      <c r="I241">
        <v>1</v>
      </c>
      <c r="J241" s="2" t="s">
        <v>16</v>
      </c>
      <c r="K241">
        <v>1</v>
      </c>
      <c r="L241" s="2" t="s">
        <v>22</v>
      </c>
      <c r="M241">
        <v>1</v>
      </c>
      <c r="N241" s="2" t="s">
        <v>39</v>
      </c>
      <c r="O241">
        <v>1</v>
      </c>
    </row>
    <row r="242" spans="1:15" x14ac:dyDescent="0.35">
      <c r="A242" s="2" t="s">
        <v>126</v>
      </c>
      <c r="B242" s="2" t="s">
        <v>56</v>
      </c>
      <c r="C242" s="2" t="s">
        <v>50</v>
      </c>
      <c r="D242" s="2" t="s">
        <v>231</v>
      </c>
      <c r="E242">
        <v>2018</v>
      </c>
      <c r="F242" s="2" t="s">
        <v>6</v>
      </c>
      <c r="G242">
        <v>1</v>
      </c>
      <c r="H242" s="2" t="s">
        <v>7</v>
      </c>
      <c r="I242">
        <v>1</v>
      </c>
      <c r="J242" s="2" t="s">
        <v>16</v>
      </c>
      <c r="K242">
        <v>1</v>
      </c>
      <c r="L242" s="2" t="s">
        <v>22</v>
      </c>
      <c r="M242">
        <v>1</v>
      </c>
      <c r="N242" s="2" t="s">
        <v>40</v>
      </c>
      <c r="O242">
        <v>1</v>
      </c>
    </row>
    <row r="243" spans="1:15" x14ac:dyDescent="0.35">
      <c r="A243" s="2" t="s">
        <v>200</v>
      </c>
      <c r="B243" s="2" t="s">
        <v>56</v>
      </c>
      <c r="C243" s="2" t="s">
        <v>50</v>
      </c>
      <c r="D243" s="2" t="s">
        <v>231</v>
      </c>
      <c r="E243">
        <v>2021</v>
      </c>
      <c r="F243" s="2" t="s">
        <v>6</v>
      </c>
      <c r="G243">
        <v>1</v>
      </c>
      <c r="H243" s="2" t="s">
        <v>7</v>
      </c>
      <c r="I243">
        <v>1</v>
      </c>
      <c r="J243" s="2" t="s">
        <v>16</v>
      </c>
      <c r="K243">
        <v>1</v>
      </c>
      <c r="L243" s="2" t="s">
        <v>22</v>
      </c>
      <c r="M243">
        <v>1</v>
      </c>
      <c r="N243" s="2" t="s">
        <v>37</v>
      </c>
      <c r="O243">
        <v>1</v>
      </c>
    </row>
    <row r="244" spans="1:15" x14ac:dyDescent="0.35">
      <c r="A244" s="2" t="s">
        <v>200</v>
      </c>
      <c r="B244" s="2" t="s">
        <v>56</v>
      </c>
      <c r="C244" s="2" t="s">
        <v>50</v>
      </c>
      <c r="D244" s="2" t="s">
        <v>231</v>
      </c>
      <c r="E244">
        <v>2021</v>
      </c>
      <c r="F244" s="2" t="s">
        <v>6</v>
      </c>
      <c r="G244">
        <v>1</v>
      </c>
      <c r="H244" s="2" t="s">
        <v>7</v>
      </c>
      <c r="I244">
        <v>1</v>
      </c>
      <c r="J244" s="2" t="s">
        <v>16</v>
      </c>
      <c r="K244">
        <v>1</v>
      </c>
      <c r="L244" s="2" t="s">
        <v>22</v>
      </c>
      <c r="M244">
        <v>1</v>
      </c>
      <c r="N244" s="2" t="s">
        <v>38</v>
      </c>
      <c r="O244">
        <v>1</v>
      </c>
    </row>
    <row r="245" spans="1:15" x14ac:dyDescent="0.35">
      <c r="A245" s="2" t="s">
        <v>200</v>
      </c>
      <c r="B245" s="2" t="s">
        <v>56</v>
      </c>
      <c r="C245" s="2" t="s">
        <v>50</v>
      </c>
      <c r="D245" s="2" t="s">
        <v>231</v>
      </c>
      <c r="E245">
        <v>2021</v>
      </c>
      <c r="F245" s="2" t="s">
        <v>6</v>
      </c>
      <c r="G245">
        <v>1</v>
      </c>
      <c r="H245" s="2" t="s">
        <v>7</v>
      </c>
      <c r="I245">
        <v>1</v>
      </c>
      <c r="J245" s="2" t="s">
        <v>16</v>
      </c>
      <c r="K245">
        <v>1</v>
      </c>
      <c r="L245" s="2" t="s">
        <v>22</v>
      </c>
      <c r="M245">
        <v>1</v>
      </c>
      <c r="N245" s="2" t="s">
        <v>39</v>
      </c>
      <c r="O245">
        <v>1</v>
      </c>
    </row>
    <row r="246" spans="1:15" x14ac:dyDescent="0.35">
      <c r="A246" s="2" t="s">
        <v>200</v>
      </c>
      <c r="B246" s="2" t="s">
        <v>56</v>
      </c>
      <c r="C246" s="2" t="s">
        <v>50</v>
      </c>
      <c r="D246" s="2" t="s">
        <v>231</v>
      </c>
      <c r="E246">
        <v>2021</v>
      </c>
      <c r="F246" s="2" t="s">
        <v>6</v>
      </c>
      <c r="G246">
        <v>1</v>
      </c>
      <c r="H246" s="2" t="s">
        <v>7</v>
      </c>
      <c r="I246">
        <v>1</v>
      </c>
      <c r="J246" s="2" t="s">
        <v>16</v>
      </c>
      <c r="K246">
        <v>1</v>
      </c>
      <c r="L246" s="2" t="s">
        <v>22</v>
      </c>
      <c r="M246">
        <v>1</v>
      </c>
      <c r="N246" s="2" t="s">
        <v>40</v>
      </c>
      <c r="O246">
        <v>1</v>
      </c>
    </row>
    <row r="247" spans="1:15" x14ac:dyDescent="0.35">
      <c r="A247" s="2" t="s">
        <v>200</v>
      </c>
      <c r="B247" s="2" t="s">
        <v>56</v>
      </c>
      <c r="C247" s="2" t="s">
        <v>50</v>
      </c>
      <c r="D247" s="2" t="s">
        <v>231</v>
      </c>
      <c r="E247">
        <v>2021</v>
      </c>
      <c r="F247" s="2" t="s">
        <v>6</v>
      </c>
      <c r="G247">
        <v>1</v>
      </c>
      <c r="H247" s="2" t="s">
        <v>7</v>
      </c>
      <c r="I247">
        <v>1</v>
      </c>
      <c r="J247" s="2" t="s">
        <v>16</v>
      </c>
      <c r="K247">
        <v>1</v>
      </c>
      <c r="L247" s="2" t="s">
        <v>22</v>
      </c>
      <c r="M247">
        <v>1</v>
      </c>
      <c r="N247" s="2" t="s">
        <v>46</v>
      </c>
      <c r="O247">
        <v>1</v>
      </c>
    </row>
    <row r="248" spans="1:15" x14ac:dyDescent="0.35">
      <c r="A248" s="2" t="s">
        <v>139</v>
      </c>
      <c r="B248" s="2" t="s">
        <v>56</v>
      </c>
      <c r="C248" s="2" t="s">
        <v>50</v>
      </c>
      <c r="D248" s="2" t="s">
        <v>231</v>
      </c>
      <c r="E248">
        <v>2018</v>
      </c>
      <c r="F248" s="2" t="s">
        <v>6</v>
      </c>
      <c r="G248">
        <v>1</v>
      </c>
      <c r="H248" s="2" t="s">
        <v>7</v>
      </c>
      <c r="I248">
        <v>1</v>
      </c>
      <c r="J248" s="2" t="s">
        <v>16</v>
      </c>
      <c r="K248">
        <v>1</v>
      </c>
      <c r="L248" s="2" t="s">
        <v>22</v>
      </c>
      <c r="M248">
        <v>1</v>
      </c>
      <c r="N248" s="2" t="s">
        <v>37</v>
      </c>
      <c r="O248">
        <v>1</v>
      </c>
    </row>
    <row r="249" spans="1:15" x14ac:dyDescent="0.35">
      <c r="A249" s="2" t="s">
        <v>139</v>
      </c>
      <c r="B249" s="2" t="s">
        <v>56</v>
      </c>
      <c r="C249" s="2" t="s">
        <v>50</v>
      </c>
      <c r="D249" s="2" t="s">
        <v>231</v>
      </c>
      <c r="E249">
        <v>2018</v>
      </c>
      <c r="F249" s="2" t="s">
        <v>6</v>
      </c>
      <c r="G249">
        <v>1</v>
      </c>
      <c r="H249" s="2" t="s">
        <v>7</v>
      </c>
      <c r="I249">
        <v>1</v>
      </c>
      <c r="J249" s="2" t="s">
        <v>16</v>
      </c>
      <c r="K249">
        <v>1</v>
      </c>
      <c r="L249" s="2" t="s">
        <v>22</v>
      </c>
      <c r="M249">
        <v>1</v>
      </c>
      <c r="N249" s="2" t="s">
        <v>38</v>
      </c>
      <c r="O249">
        <v>1</v>
      </c>
    </row>
    <row r="250" spans="1:15" x14ac:dyDescent="0.35">
      <c r="A250" s="2" t="s">
        <v>139</v>
      </c>
      <c r="B250" s="2" t="s">
        <v>56</v>
      </c>
      <c r="C250" s="2" t="s">
        <v>50</v>
      </c>
      <c r="D250" s="2" t="s">
        <v>231</v>
      </c>
      <c r="E250">
        <v>2018</v>
      </c>
      <c r="F250" s="2" t="s">
        <v>6</v>
      </c>
      <c r="G250">
        <v>1</v>
      </c>
      <c r="H250" s="2" t="s">
        <v>7</v>
      </c>
      <c r="I250">
        <v>1</v>
      </c>
      <c r="J250" s="2" t="s">
        <v>16</v>
      </c>
      <c r="K250">
        <v>1</v>
      </c>
      <c r="L250" s="2" t="s">
        <v>22</v>
      </c>
      <c r="M250">
        <v>1</v>
      </c>
      <c r="N250" s="2" t="s">
        <v>40</v>
      </c>
      <c r="O250">
        <v>1</v>
      </c>
    </row>
    <row r="251" spans="1:15" x14ac:dyDescent="0.35">
      <c r="A251" s="2" t="s">
        <v>139</v>
      </c>
      <c r="B251" s="2" t="s">
        <v>56</v>
      </c>
      <c r="C251" s="2" t="s">
        <v>50</v>
      </c>
      <c r="D251" s="2" t="s">
        <v>231</v>
      </c>
      <c r="E251">
        <v>2018</v>
      </c>
      <c r="F251" s="2" t="s">
        <v>6</v>
      </c>
      <c r="G251">
        <v>1</v>
      </c>
      <c r="H251" s="2" t="s">
        <v>7</v>
      </c>
      <c r="I251">
        <v>1</v>
      </c>
      <c r="J251" s="2" t="s">
        <v>16</v>
      </c>
      <c r="K251">
        <v>1</v>
      </c>
      <c r="L251" s="2" t="s">
        <v>22</v>
      </c>
      <c r="M251">
        <v>1</v>
      </c>
      <c r="N251" s="2" t="s">
        <v>44</v>
      </c>
      <c r="O251">
        <v>1</v>
      </c>
    </row>
    <row r="252" spans="1:15" x14ac:dyDescent="0.35">
      <c r="A252" s="2" t="s">
        <v>152</v>
      </c>
      <c r="B252" s="2" t="s">
        <v>56</v>
      </c>
      <c r="C252" s="2" t="s">
        <v>50</v>
      </c>
      <c r="D252" s="2" t="s">
        <v>231</v>
      </c>
      <c r="E252">
        <v>2015</v>
      </c>
      <c r="F252" s="2" t="s">
        <v>6</v>
      </c>
      <c r="G252">
        <v>1</v>
      </c>
      <c r="H252" s="2" t="s">
        <v>7</v>
      </c>
      <c r="I252">
        <v>1</v>
      </c>
      <c r="J252" s="2" t="s">
        <v>16</v>
      </c>
      <c r="K252">
        <v>1</v>
      </c>
      <c r="L252" s="2" t="s">
        <v>22</v>
      </c>
      <c r="M252">
        <v>1</v>
      </c>
      <c r="N252" s="2" t="s">
        <v>35</v>
      </c>
      <c r="O252">
        <v>1</v>
      </c>
    </row>
    <row r="253" spans="1:15" x14ac:dyDescent="0.35">
      <c r="A253" s="2" t="s">
        <v>152</v>
      </c>
      <c r="B253" s="2" t="s">
        <v>56</v>
      </c>
      <c r="C253" s="2" t="s">
        <v>50</v>
      </c>
      <c r="D253" s="2" t="s">
        <v>231</v>
      </c>
      <c r="E253">
        <v>2015</v>
      </c>
      <c r="F253" s="2" t="s">
        <v>6</v>
      </c>
      <c r="G253">
        <v>1</v>
      </c>
      <c r="H253" s="2" t="s">
        <v>7</v>
      </c>
      <c r="I253">
        <v>1</v>
      </c>
      <c r="J253" s="2" t="s">
        <v>16</v>
      </c>
      <c r="K253">
        <v>1</v>
      </c>
      <c r="L253" s="2" t="s">
        <v>22</v>
      </c>
      <c r="M253">
        <v>1</v>
      </c>
      <c r="N253" s="2" t="s">
        <v>37</v>
      </c>
      <c r="O253">
        <v>1</v>
      </c>
    </row>
    <row r="254" spans="1:15" x14ac:dyDescent="0.35">
      <c r="A254" s="2" t="s">
        <v>152</v>
      </c>
      <c r="B254" s="2" t="s">
        <v>56</v>
      </c>
      <c r="C254" s="2" t="s">
        <v>50</v>
      </c>
      <c r="D254" s="2" t="s">
        <v>231</v>
      </c>
      <c r="E254">
        <v>2015</v>
      </c>
      <c r="F254" s="2" t="s">
        <v>6</v>
      </c>
      <c r="G254">
        <v>1</v>
      </c>
      <c r="H254" s="2" t="s">
        <v>7</v>
      </c>
      <c r="I254">
        <v>1</v>
      </c>
      <c r="J254" s="2" t="s">
        <v>16</v>
      </c>
      <c r="K254">
        <v>1</v>
      </c>
      <c r="L254" s="2" t="s">
        <v>22</v>
      </c>
      <c r="M254">
        <v>1</v>
      </c>
      <c r="N254" s="2" t="s">
        <v>38</v>
      </c>
      <c r="O254">
        <v>1</v>
      </c>
    </row>
    <row r="255" spans="1:15" x14ac:dyDescent="0.35">
      <c r="A255" s="2" t="s">
        <v>152</v>
      </c>
      <c r="B255" s="2" t="s">
        <v>56</v>
      </c>
      <c r="C255" s="2" t="s">
        <v>50</v>
      </c>
      <c r="D255" s="2" t="s">
        <v>231</v>
      </c>
      <c r="E255">
        <v>2015</v>
      </c>
      <c r="F255" s="2" t="s">
        <v>6</v>
      </c>
      <c r="G255">
        <v>1</v>
      </c>
      <c r="H255" s="2" t="s">
        <v>7</v>
      </c>
      <c r="I255">
        <v>1</v>
      </c>
      <c r="J255" s="2" t="s">
        <v>16</v>
      </c>
      <c r="K255">
        <v>1</v>
      </c>
      <c r="L255" s="2" t="s">
        <v>22</v>
      </c>
      <c r="M255">
        <v>1</v>
      </c>
      <c r="N255" s="2" t="s">
        <v>39</v>
      </c>
      <c r="O255">
        <v>1</v>
      </c>
    </row>
    <row r="256" spans="1:15" x14ac:dyDescent="0.35">
      <c r="A256" s="2" t="s">
        <v>152</v>
      </c>
      <c r="B256" s="2" t="s">
        <v>56</v>
      </c>
      <c r="C256" s="2" t="s">
        <v>50</v>
      </c>
      <c r="D256" s="2" t="s">
        <v>231</v>
      </c>
      <c r="E256">
        <v>2015</v>
      </c>
      <c r="F256" s="2" t="s">
        <v>6</v>
      </c>
      <c r="G256">
        <v>1</v>
      </c>
      <c r="H256" s="2" t="s">
        <v>7</v>
      </c>
      <c r="I256">
        <v>1</v>
      </c>
      <c r="J256" s="2" t="s">
        <v>16</v>
      </c>
      <c r="K256">
        <v>1</v>
      </c>
      <c r="L256" s="2" t="s">
        <v>22</v>
      </c>
      <c r="M256">
        <v>1</v>
      </c>
      <c r="N256" s="2" t="s">
        <v>40</v>
      </c>
      <c r="O256">
        <v>1</v>
      </c>
    </row>
    <row r="257" spans="1:15" x14ac:dyDescent="0.35">
      <c r="A257" s="2" t="s">
        <v>152</v>
      </c>
      <c r="B257" s="2" t="s">
        <v>56</v>
      </c>
      <c r="C257" s="2" t="s">
        <v>50</v>
      </c>
      <c r="D257" s="2" t="s">
        <v>231</v>
      </c>
      <c r="E257">
        <v>2015</v>
      </c>
      <c r="F257" s="2" t="s">
        <v>6</v>
      </c>
      <c r="G257">
        <v>1</v>
      </c>
      <c r="H257" s="2" t="s">
        <v>7</v>
      </c>
      <c r="I257">
        <v>1</v>
      </c>
      <c r="J257" s="2" t="s">
        <v>16</v>
      </c>
      <c r="K257">
        <v>1</v>
      </c>
      <c r="L257" s="2" t="s">
        <v>22</v>
      </c>
      <c r="M257">
        <v>1</v>
      </c>
      <c r="N257" s="2" t="s">
        <v>44</v>
      </c>
      <c r="O257">
        <v>1</v>
      </c>
    </row>
    <row r="258" spans="1:15" x14ac:dyDescent="0.35">
      <c r="A258" s="2" t="s">
        <v>160</v>
      </c>
      <c r="B258" s="2" t="s">
        <v>56</v>
      </c>
      <c r="C258" s="2" t="s">
        <v>50</v>
      </c>
      <c r="D258" s="2" t="s">
        <v>231</v>
      </c>
      <c r="E258">
        <v>2018</v>
      </c>
      <c r="F258" s="2" t="s">
        <v>6</v>
      </c>
      <c r="G258">
        <v>1</v>
      </c>
      <c r="H258" s="2" t="s">
        <v>7</v>
      </c>
      <c r="I258">
        <v>1</v>
      </c>
      <c r="J258" s="2" t="s">
        <v>16</v>
      </c>
      <c r="K258">
        <v>1</v>
      </c>
      <c r="L258" s="2" t="s">
        <v>22</v>
      </c>
      <c r="M258">
        <v>1</v>
      </c>
      <c r="N258" s="2" t="s">
        <v>34</v>
      </c>
      <c r="O258">
        <v>1</v>
      </c>
    </row>
    <row r="259" spans="1:15" x14ac:dyDescent="0.35">
      <c r="A259" s="2" t="s">
        <v>160</v>
      </c>
      <c r="B259" s="2" t="s">
        <v>56</v>
      </c>
      <c r="C259" s="2" t="s">
        <v>50</v>
      </c>
      <c r="D259" s="2" t="s">
        <v>231</v>
      </c>
      <c r="E259">
        <v>2018</v>
      </c>
      <c r="F259" s="2" t="s">
        <v>6</v>
      </c>
      <c r="G259">
        <v>1</v>
      </c>
      <c r="H259" s="2" t="s">
        <v>7</v>
      </c>
      <c r="I259">
        <v>1</v>
      </c>
      <c r="J259" s="2" t="s">
        <v>16</v>
      </c>
      <c r="K259">
        <v>1</v>
      </c>
      <c r="L259" s="2" t="s">
        <v>22</v>
      </c>
      <c r="M259">
        <v>1</v>
      </c>
      <c r="N259" s="2" t="s">
        <v>35</v>
      </c>
      <c r="O259">
        <v>1</v>
      </c>
    </row>
    <row r="260" spans="1:15" x14ac:dyDescent="0.35">
      <c r="A260" s="2" t="s">
        <v>160</v>
      </c>
      <c r="B260" s="2" t="s">
        <v>56</v>
      </c>
      <c r="C260" s="2" t="s">
        <v>50</v>
      </c>
      <c r="D260" s="2" t="s">
        <v>231</v>
      </c>
      <c r="E260">
        <v>2018</v>
      </c>
      <c r="F260" s="2" t="s">
        <v>6</v>
      </c>
      <c r="G260">
        <v>1</v>
      </c>
      <c r="H260" s="2" t="s">
        <v>7</v>
      </c>
      <c r="I260">
        <v>1</v>
      </c>
      <c r="J260" s="2" t="s">
        <v>16</v>
      </c>
      <c r="K260">
        <v>1</v>
      </c>
      <c r="L260" s="2" t="s">
        <v>22</v>
      </c>
      <c r="M260">
        <v>1</v>
      </c>
      <c r="N260" s="2" t="s">
        <v>36</v>
      </c>
      <c r="O260">
        <v>1</v>
      </c>
    </row>
    <row r="261" spans="1:15" x14ac:dyDescent="0.35">
      <c r="A261" s="2" t="s">
        <v>160</v>
      </c>
      <c r="B261" s="2" t="s">
        <v>56</v>
      </c>
      <c r="C261" s="2" t="s">
        <v>50</v>
      </c>
      <c r="D261" s="2" t="s">
        <v>231</v>
      </c>
      <c r="E261">
        <v>2018</v>
      </c>
      <c r="F261" s="2" t="s">
        <v>6</v>
      </c>
      <c r="G261">
        <v>1</v>
      </c>
      <c r="H261" s="2" t="s">
        <v>7</v>
      </c>
      <c r="I261">
        <v>1</v>
      </c>
      <c r="J261" s="2" t="s">
        <v>16</v>
      </c>
      <c r="K261">
        <v>1</v>
      </c>
      <c r="L261" s="2" t="s">
        <v>22</v>
      </c>
      <c r="M261">
        <v>1</v>
      </c>
      <c r="N261" s="2" t="s">
        <v>38</v>
      </c>
      <c r="O261">
        <v>1</v>
      </c>
    </row>
    <row r="262" spans="1:15" x14ac:dyDescent="0.35">
      <c r="A262" s="2" t="s">
        <v>160</v>
      </c>
      <c r="B262" s="2" t="s">
        <v>56</v>
      </c>
      <c r="C262" s="2" t="s">
        <v>50</v>
      </c>
      <c r="D262" s="2" t="s">
        <v>231</v>
      </c>
      <c r="E262">
        <v>2018</v>
      </c>
      <c r="F262" s="2" t="s">
        <v>6</v>
      </c>
      <c r="G262">
        <v>1</v>
      </c>
      <c r="H262" s="2" t="s">
        <v>7</v>
      </c>
      <c r="I262">
        <v>1</v>
      </c>
      <c r="J262" s="2" t="s">
        <v>16</v>
      </c>
      <c r="K262">
        <v>1</v>
      </c>
      <c r="L262" s="2" t="s">
        <v>22</v>
      </c>
      <c r="M262">
        <v>1</v>
      </c>
      <c r="N262" s="2" t="s">
        <v>45</v>
      </c>
      <c r="O262">
        <v>1</v>
      </c>
    </row>
    <row r="263" spans="1:15" x14ac:dyDescent="0.35">
      <c r="A263" s="2" t="s">
        <v>99</v>
      </c>
      <c r="B263" s="2" t="s">
        <v>56</v>
      </c>
      <c r="C263" s="2" t="s">
        <v>50</v>
      </c>
      <c r="D263" s="2" t="s">
        <v>231</v>
      </c>
      <c r="E263">
        <v>2016</v>
      </c>
      <c r="F263" s="2" t="s">
        <v>6</v>
      </c>
      <c r="G263">
        <v>1</v>
      </c>
      <c r="H263" s="2" t="s">
        <v>7</v>
      </c>
      <c r="I263">
        <v>1</v>
      </c>
      <c r="J263" s="2" t="s">
        <v>16</v>
      </c>
      <c r="K263">
        <v>1</v>
      </c>
      <c r="L263" s="2" t="s">
        <v>19</v>
      </c>
      <c r="M263">
        <v>1</v>
      </c>
      <c r="N263" s="2" t="s">
        <v>32</v>
      </c>
      <c r="O263">
        <v>1</v>
      </c>
    </row>
    <row r="264" spans="1:15" x14ac:dyDescent="0.35">
      <c r="A264" s="2" t="s">
        <v>99</v>
      </c>
      <c r="B264" s="2" t="s">
        <v>56</v>
      </c>
      <c r="C264" s="2" t="s">
        <v>50</v>
      </c>
      <c r="D264" s="2" t="s">
        <v>231</v>
      </c>
      <c r="E264">
        <v>2016</v>
      </c>
      <c r="F264" s="2" t="s">
        <v>6</v>
      </c>
      <c r="G264">
        <v>1</v>
      </c>
      <c r="H264" s="2" t="s">
        <v>7</v>
      </c>
      <c r="I264">
        <v>1</v>
      </c>
      <c r="J264" s="2" t="s">
        <v>16</v>
      </c>
      <c r="K264">
        <v>1</v>
      </c>
      <c r="L264" s="2" t="s">
        <v>19</v>
      </c>
      <c r="M264">
        <v>1</v>
      </c>
      <c r="N264" s="2" t="s">
        <v>35</v>
      </c>
      <c r="O264">
        <v>1</v>
      </c>
    </row>
    <row r="265" spans="1:15" x14ac:dyDescent="0.35">
      <c r="A265" s="2" t="s">
        <v>100</v>
      </c>
      <c r="B265" s="2" t="s">
        <v>56</v>
      </c>
      <c r="C265" s="2" t="s">
        <v>50</v>
      </c>
      <c r="D265" s="2" t="s">
        <v>231</v>
      </c>
      <c r="E265">
        <v>2014</v>
      </c>
      <c r="F265" s="2" t="s">
        <v>6</v>
      </c>
      <c r="G265">
        <v>1</v>
      </c>
      <c r="H265" s="2" t="s">
        <v>7</v>
      </c>
      <c r="I265">
        <v>1</v>
      </c>
      <c r="J265" s="2" t="s">
        <v>16</v>
      </c>
      <c r="K265">
        <v>1</v>
      </c>
      <c r="L265" s="2" t="s">
        <v>19</v>
      </c>
      <c r="M265">
        <v>1</v>
      </c>
      <c r="N265" s="2" t="s">
        <v>32</v>
      </c>
      <c r="O265">
        <v>1</v>
      </c>
    </row>
    <row r="266" spans="1:15" x14ac:dyDescent="0.35">
      <c r="A266" s="2" t="s">
        <v>100</v>
      </c>
      <c r="B266" s="2" t="s">
        <v>56</v>
      </c>
      <c r="C266" s="2" t="s">
        <v>50</v>
      </c>
      <c r="D266" s="2" t="s">
        <v>231</v>
      </c>
      <c r="E266">
        <v>2014</v>
      </c>
      <c r="F266" s="2" t="s">
        <v>6</v>
      </c>
      <c r="G266">
        <v>1</v>
      </c>
      <c r="H266" s="2" t="s">
        <v>7</v>
      </c>
      <c r="I266">
        <v>1</v>
      </c>
      <c r="J266" s="2" t="s">
        <v>16</v>
      </c>
      <c r="K266">
        <v>1</v>
      </c>
      <c r="L266" s="2" t="s">
        <v>19</v>
      </c>
      <c r="M266">
        <v>1</v>
      </c>
      <c r="N266" s="2" t="s">
        <v>44</v>
      </c>
      <c r="O266">
        <v>1</v>
      </c>
    </row>
    <row r="267" spans="1:15" x14ac:dyDescent="0.35">
      <c r="A267" s="2" t="s">
        <v>101</v>
      </c>
      <c r="B267" s="2" t="s">
        <v>56</v>
      </c>
      <c r="C267" s="2" t="s">
        <v>50</v>
      </c>
      <c r="D267" s="2" t="s">
        <v>231</v>
      </c>
      <c r="E267">
        <v>2016</v>
      </c>
      <c r="F267" s="2" t="s">
        <v>6</v>
      </c>
      <c r="G267">
        <v>1</v>
      </c>
      <c r="H267" s="2" t="s">
        <v>7</v>
      </c>
      <c r="I267">
        <v>1</v>
      </c>
      <c r="J267" s="2" t="s">
        <v>16</v>
      </c>
      <c r="K267">
        <v>1</v>
      </c>
      <c r="L267" s="2" t="s">
        <v>19</v>
      </c>
      <c r="M267">
        <v>1</v>
      </c>
      <c r="N267" s="2" t="s">
        <v>32</v>
      </c>
      <c r="O267">
        <v>1</v>
      </c>
    </row>
    <row r="268" spans="1:15" x14ac:dyDescent="0.35">
      <c r="A268" s="2" t="s">
        <v>101</v>
      </c>
      <c r="B268" s="2" t="s">
        <v>56</v>
      </c>
      <c r="C268" s="2" t="s">
        <v>50</v>
      </c>
      <c r="D268" s="2" t="s">
        <v>231</v>
      </c>
      <c r="E268">
        <v>2016</v>
      </c>
      <c r="F268" s="2" t="s">
        <v>6</v>
      </c>
      <c r="G268">
        <v>1</v>
      </c>
      <c r="H268" s="2" t="s">
        <v>7</v>
      </c>
      <c r="I268">
        <v>1</v>
      </c>
      <c r="J268" s="2" t="s">
        <v>16</v>
      </c>
      <c r="K268">
        <v>1</v>
      </c>
      <c r="L268" s="2" t="s">
        <v>19</v>
      </c>
      <c r="M268">
        <v>1</v>
      </c>
      <c r="N268" s="2" t="s">
        <v>35</v>
      </c>
      <c r="O268">
        <v>1</v>
      </c>
    </row>
    <row r="269" spans="1:15" x14ac:dyDescent="0.35">
      <c r="A269" s="2" t="s">
        <v>101</v>
      </c>
      <c r="B269" s="2" t="s">
        <v>56</v>
      </c>
      <c r="C269" s="2" t="s">
        <v>50</v>
      </c>
      <c r="D269" s="2" t="s">
        <v>231</v>
      </c>
      <c r="E269">
        <v>2016</v>
      </c>
      <c r="F269" s="2" t="s">
        <v>6</v>
      </c>
      <c r="G269">
        <v>1</v>
      </c>
      <c r="H269" s="2" t="s">
        <v>7</v>
      </c>
      <c r="I269">
        <v>1</v>
      </c>
      <c r="J269" s="2" t="s">
        <v>16</v>
      </c>
      <c r="K269">
        <v>1</v>
      </c>
      <c r="L269" s="2" t="s">
        <v>19</v>
      </c>
      <c r="M269">
        <v>1</v>
      </c>
      <c r="N269" s="2" t="s">
        <v>44</v>
      </c>
      <c r="O269">
        <v>1</v>
      </c>
    </row>
    <row r="270" spans="1:15" x14ac:dyDescent="0.35">
      <c r="A270" s="2" t="s">
        <v>105</v>
      </c>
      <c r="B270" s="2" t="s">
        <v>56</v>
      </c>
      <c r="C270" s="2" t="s">
        <v>50</v>
      </c>
      <c r="D270" s="2" t="s">
        <v>231</v>
      </c>
      <c r="E270">
        <v>2019</v>
      </c>
      <c r="F270" s="2" t="s">
        <v>6</v>
      </c>
      <c r="G270">
        <v>1</v>
      </c>
      <c r="H270" s="2" t="s">
        <v>7</v>
      </c>
      <c r="I270">
        <v>1</v>
      </c>
      <c r="J270" s="2" t="s">
        <v>17</v>
      </c>
      <c r="K270">
        <v>1</v>
      </c>
      <c r="L270" s="2" t="s">
        <v>23</v>
      </c>
      <c r="M270">
        <v>1</v>
      </c>
      <c r="N270" s="2" t="s">
        <v>32</v>
      </c>
      <c r="O270">
        <v>1</v>
      </c>
    </row>
    <row r="271" spans="1:15" x14ac:dyDescent="0.35">
      <c r="A271" s="2" t="s">
        <v>105</v>
      </c>
      <c r="B271" s="2" t="s">
        <v>56</v>
      </c>
      <c r="C271" s="2" t="s">
        <v>50</v>
      </c>
      <c r="D271" s="2" t="s">
        <v>231</v>
      </c>
      <c r="E271">
        <v>2019</v>
      </c>
      <c r="F271" s="2" t="s">
        <v>6</v>
      </c>
      <c r="G271">
        <v>1</v>
      </c>
      <c r="H271" s="2" t="s">
        <v>7</v>
      </c>
      <c r="I271">
        <v>1</v>
      </c>
      <c r="J271" s="2" t="s">
        <v>17</v>
      </c>
      <c r="K271">
        <v>1</v>
      </c>
      <c r="L271" s="2" t="s">
        <v>23</v>
      </c>
      <c r="M271">
        <v>1</v>
      </c>
      <c r="N271" s="2" t="s">
        <v>33</v>
      </c>
      <c r="O271">
        <v>1</v>
      </c>
    </row>
    <row r="272" spans="1:15" x14ac:dyDescent="0.35">
      <c r="A272" s="2" t="s">
        <v>105</v>
      </c>
      <c r="B272" s="2" t="s">
        <v>56</v>
      </c>
      <c r="C272" s="2" t="s">
        <v>50</v>
      </c>
      <c r="D272" s="2" t="s">
        <v>231</v>
      </c>
      <c r="E272">
        <v>2019</v>
      </c>
      <c r="F272" s="2" t="s">
        <v>6</v>
      </c>
      <c r="G272">
        <v>1</v>
      </c>
      <c r="H272" s="2" t="s">
        <v>7</v>
      </c>
      <c r="I272">
        <v>1</v>
      </c>
      <c r="J272" s="2" t="s">
        <v>17</v>
      </c>
      <c r="K272">
        <v>1</v>
      </c>
      <c r="L272" s="2" t="s">
        <v>23</v>
      </c>
      <c r="M272">
        <v>1</v>
      </c>
      <c r="N272" s="2" t="s">
        <v>41</v>
      </c>
      <c r="O272">
        <v>1</v>
      </c>
    </row>
    <row r="273" spans="1:15" x14ac:dyDescent="0.35">
      <c r="A273" s="2" t="s">
        <v>105</v>
      </c>
      <c r="B273" s="2" t="s">
        <v>56</v>
      </c>
      <c r="C273" s="2" t="s">
        <v>50</v>
      </c>
      <c r="D273" s="2" t="s">
        <v>231</v>
      </c>
      <c r="E273">
        <v>2019</v>
      </c>
      <c r="F273" s="2" t="s">
        <v>6</v>
      </c>
      <c r="G273">
        <v>1</v>
      </c>
      <c r="H273" s="2" t="s">
        <v>7</v>
      </c>
      <c r="I273">
        <v>1</v>
      </c>
      <c r="J273" s="2" t="s">
        <v>17</v>
      </c>
      <c r="K273">
        <v>1</v>
      </c>
      <c r="L273" s="2" t="s">
        <v>23</v>
      </c>
      <c r="M273">
        <v>1</v>
      </c>
      <c r="N273" s="2" t="s">
        <v>45</v>
      </c>
      <c r="O273">
        <v>1</v>
      </c>
    </row>
    <row r="274" spans="1:15" x14ac:dyDescent="0.35">
      <c r="A274" s="2" t="s">
        <v>126</v>
      </c>
      <c r="B274" s="2" t="s">
        <v>56</v>
      </c>
      <c r="C274" s="2" t="s">
        <v>50</v>
      </c>
      <c r="D274" s="2" t="s">
        <v>231</v>
      </c>
      <c r="E274">
        <v>2018</v>
      </c>
      <c r="F274" s="2" t="s">
        <v>6</v>
      </c>
      <c r="G274">
        <v>1</v>
      </c>
      <c r="H274" s="2" t="s">
        <v>7</v>
      </c>
      <c r="I274">
        <v>1</v>
      </c>
      <c r="J274" s="2" t="s">
        <v>16</v>
      </c>
      <c r="K274">
        <v>1</v>
      </c>
      <c r="L274" s="2" t="s">
        <v>19</v>
      </c>
      <c r="M274">
        <v>1</v>
      </c>
      <c r="N274" s="2" t="s">
        <v>35</v>
      </c>
      <c r="O274">
        <v>1</v>
      </c>
    </row>
    <row r="275" spans="1:15" x14ac:dyDescent="0.35">
      <c r="A275" s="2" t="s">
        <v>126</v>
      </c>
      <c r="B275" s="2" t="s">
        <v>56</v>
      </c>
      <c r="C275" s="2" t="s">
        <v>50</v>
      </c>
      <c r="D275" s="2" t="s">
        <v>231</v>
      </c>
      <c r="E275">
        <v>2018</v>
      </c>
      <c r="F275" s="2" t="s">
        <v>6</v>
      </c>
      <c r="G275">
        <v>1</v>
      </c>
      <c r="H275" s="2" t="s">
        <v>7</v>
      </c>
      <c r="I275">
        <v>1</v>
      </c>
      <c r="J275" s="2" t="s">
        <v>16</v>
      </c>
      <c r="K275">
        <v>1</v>
      </c>
      <c r="L275" s="2" t="s">
        <v>19</v>
      </c>
      <c r="M275">
        <v>1</v>
      </c>
      <c r="N275" s="2" t="s">
        <v>37</v>
      </c>
      <c r="O275">
        <v>1</v>
      </c>
    </row>
    <row r="276" spans="1:15" x14ac:dyDescent="0.35">
      <c r="A276" s="2" t="s">
        <v>126</v>
      </c>
      <c r="B276" s="2" t="s">
        <v>56</v>
      </c>
      <c r="C276" s="2" t="s">
        <v>50</v>
      </c>
      <c r="D276" s="2" t="s">
        <v>231</v>
      </c>
      <c r="E276">
        <v>2018</v>
      </c>
      <c r="F276" s="2" t="s">
        <v>6</v>
      </c>
      <c r="G276">
        <v>1</v>
      </c>
      <c r="H276" s="2" t="s">
        <v>7</v>
      </c>
      <c r="I276">
        <v>1</v>
      </c>
      <c r="J276" s="2" t="s">
        <v>16</v>
      </c>
      <c r="K276">
        <v>1</v>
      </c>
      <c r="L276" s="2" t="s">
        <v>19</v>
      </c>
      <c r="M276">
        <v>1</v>
      </c>
      <c r="N276" s="2" t="s">
        <v>38</v>
      </c>
      <c r="O276">
        <v>1</v>
      </c>
    </row>
    <row r="277" spans="1:15" x14ac:dyDescent="0.35">
      <c r="A277" s="2" t="s">
        <v>126</v>
      </c>
      <c r="B277" s="2" t="s">
        <v>56</v>
      </c>
      <c r="C277" s="2" t="s">
        <v>50</v>
      </c>
      <c r="D277" s="2" t="s">
        <v>231</v>
      </c>
      <c r="E277">
        <v>2018</v>
      </c>
      <c r="F277" s="2" t="s">
        <v>6</v>
      </c>
      <c r="G277">
        <v>1</v>
      </c>
      <c r="H277" s="2" t="s">
        <v>7</v>
      </c>
      <c r="I277">
        <v>1</v>
      </c>
      <c r="J277" s="2" t="s">
        <v>16</v>
      </c>
      <c r="K277">
        <v>1</v>
      </c>
      <c r="L277" s="2" t="s">
        <v>19</v>
      </c>
      <c r="M277">
        <v>1</v>
      </c>
      <c r="N277" s="2" t="s">
        <v>39</v>
      </c>
      <c r="O277">
        <v>1</v>
      </c>
    </row>
    <row r="278" spans="1:15" x14ac:dyDescent="0.35">
      <c r="A278" s="2" t="s">
        <v>126</v>
      </c>
      <c r="B278" s="2" t="s">
        <v>56</v>
      </c>
      <c r="C278" s="2" t="s">
        <v>50</v>
      </c>
      <c r="D278" s="2" t="s">
        <v>231</v>
      </c>
      <c r="E278">
        <v>2018</v>
      </c>
      <c r="F278" s="2" t="s">
        <v>6</v>
      </c>
      <c r="G278">
        <v>1</v>
      </c>
      <c r="H278" s="2" t="s">
        <v>7</v>
      </c>
      <c r="I278">
        <v>1</v>
      </c>
      <c r="J278" s="2" t="s">
        <v>16</v>
      </c>
      <c r="K278">
        <v>1</v>
      </c>
      <c r="L278" s="2" t="s">
        <v>19</v>
      </c>
      <c r="M278">
        <v>1</v>
      </c>
      <c r="N278" s="2" t="s">
        <v>40</v>
      </c>
      <c r="O278">
        <v>1</v>
      </c>
    </row>
    <row r="279" spans="1:15" x14ac:dyDescent="0.35">
      <c r="A279" s="2" t="s">
        <v>146</v>
      </c>
      <c r="B279" s="2" t="s">
        <v>56</v>
      </c>
      <c r="C279" s="2" t="s">
        <v>50</v>
      </c>
      <c r="D279" s="2" t="s">
        <v>231</v>
      </c>
      <c r="E279">
        <v>2017</v>
      </c>
      <c r="F279" s="2" t="s">
        <v>6</v>
      </c>
      <c r="G279">
        <v>1</v>
      </c>
      <c r="H279" s="2" t="s">
        <v>7</v>
      </c>
      <c r="I279">
        <v>1</v>
      </c>
      <c r="J279" s="2" t="s">
        <v>14</v>
      </c>
      <c r="K279">
        <v>1</v>
      </c>
      <c r="L279" s="2" t="s">
        <v>23</v>
      </c>
      <c r="M279">
        <v>1</v>
      </c>
      <c r="N279" s="2" t="s">
        <v>44</v>
      </c>
      <c r="O279">
        <v>1</v>
      </c>
    </row>
    <row r="280" spans="1:15" x14ac:dyDescent="0.35">
      <c r="A280" s="2" t="s">
        <v>146</v>
      </c>
      <c r="B280" s="2" t="s">
        <v>56</v>
      </c>
      <c r="C280" s="2" t="s">
        <v>50</v>
      </c>
      <c r="D280" s="2" t="s">
        <v>231</v>
      </c>
      <c r="E280">
        <v>2017</v>
      </c>
      <c r="F280" s="2" t="s">
        <v>6</v>
      </c>
      <c r="G280">
        <v>1</v>
      </c>
      <c r="H280" s="2" t="s">
        <v>7</v>
      </c>
      <c r="I280">
        <v>1</v>
      </c>
      <c r="J280" s="2" t="s">
        <v>17</v>
      </c>
      <c r="K280">
        <v>1</v>
      </c>
      <c r="L280" s="2" t="s">
        <v>23</v>
      </c>
      <c r="M280">
        <v>1</v>
      </c>
      <c r="N280" s="2" t="s">
        <v>44</v>
      </c>
      <c r="O280">
        <v>1</v>
      </c>
    </row>
    <row r="281" spans="1:15" x14ac:dyDescent="0.35">
      <c r="A281" s="2" t="s">
        <v>48</v>
      </c>
      <c r="B281" s="2" t="s">
        <v>49</v>
      </c>
      <c r="C281" s="2" t="s">
        <v>50</v>
      </c>
      <c r="D281" s="2" t="s">
        <v>231</v>
      </c>
      <c r="E281">
        <v>2018</v>
      </c>
      <c r="F281" s="2" t="s">
        <v>6</v>
      </c>
      <c r="G281">
        <v>1</v>
      </c>
      <c r="H281" s="2" t="s">
        <v>7</v>
      </c>
      <c r="I281">
        <v>1</v>
      </c>
      <c r="J281" s="2" t="s">
        <v>14</v>
      </c>
      <c r="K281">
        <v>1</v>
      </c>
      <c r="L281" s="2" t="s">
        <v>23</v>
      </c>
      <c r="M281">
        <v>1</v>
      </c>
      <c r="N281" s="2" t="s">
        <v>44</v>
      </c>
      <c r="O281">
        <v>1</v>
      </c>
    </row>
    <row r="282" spans="1:15" x14ac:dyDescent="0.35">
      <c r="A282" s="2" t="s">
        <v>132</v>
      </c>
      <c r="B282" s="2" t="s">
        <v>49</v>
      </c>
      <c r="C282" s="2" t="s">
        <v>50</v>
      </c>
      <c r="D282" s="2" t="s">
        <v>231</v>
      </c>
      <c r="E282">
        <v>2018</v>
      </c>
      <c r="F282" s="2" t="s">
        <v>6</v>
      </c>
      <c r="G282">
        <v>1</v>
      </c>
      <c r="H282" s="2" t="s">
        <v>7</v>
      </c>
      <c r="I282">
        <v>1</v>
      </c>
      <c r="J282" s="2" t="s">
        <v>15</v>
      </c>
      <c r="K282">
        <v>1</v>
      </c>
      <c r="L282" s="2" t="s">
        <v>19</v>
      </c>
      <c r="M282">
        <v>1</v>
      </c>
      <c r="N282" s="2" t="s">
        <v>35</v>
      </c>
      <c r="O282">
        <v>1</v>
      </c>
    </row>
    <row r="283" spans="1:15" x14ac:dyDescent="0.35">
      <c r="A283" s="2" t="s">
        <v>132</v>
      </c>
      <c r="B283" s="2" t="s">
        <v>49</v>
      </c>
      <c r="C283" s="2" t="s">
        <v>50</v>
      </c>
      <c r="D283" s="2" t="s">
        <v>231</v>
      </c>
      <c r="E283">
        <v>2018</v>
      </c>
      <c r="F283" s="2" t="s">
        <v>6</v>
      </c>
      <c r="G283">
        <v>1</v>
      </c>
      <c r="H283" s="2" t="s">
        <v>7</v>
      </c>
      <c r="I283">
        <v>1</v>
      </c>
      <c r="J283" s="2" t="s">
        <v>15</v>
      </c>
      <c r="K283">
        <v>1</v>
      </c>
      <c r="L283" s="2" t="s">
        <v>19</v>
      </c>
      <c r="M283">
        <v>1</v>
      </c>
      <c r="N283" s="2" t="s">
        <v>45</v>
      </c>
      <c r="O283">
        <v>1</v>
      </c>
    </row>
    <row r="284" spans="1:15" x14ac:dyDescent="0.35">
      <c r="A284" s="2" t="s">
        <v>132</v>
      </c>
      <c r="B284" s="2" t="s">
        <v>49</v>
      </c>
      <c r="C284" s="2" t="s">
        <v>50</v>
      </c>
      <c r="D284" s="2" t="s">
        <v>231</v>
      </c>
      <c r="E284">
        <v>2018</v>
      </c>
      <c r="F284" s="2" t="s">
        <v>6</v>
      </c>
      <c r="G284">
        <v>1</v>
      </c>
      <c r="H284" s="2" t="s">
        <v>7</v>
      </c>
      <c r="I284">
        <v>1</v>
      </c>
      <c r="J284" s="2" t="s">
        <v>16</v>
      </c>
      <c r="K284">
        <v>1</v>
      </c>
      <c r="L284" s="2" t="s">
        <v>19</v>
      </c>
      <c r="M284">
        <v>1</v>
      </c>
      <c r="N284" s="2" t="s">
        <v>35</v>
      </c>
      <c r="O284">
        <v>1</v>
      </c>
    </row>
    <row r="285" spans="1:15" x14ac:dyDescent="0.35">
      <c r="A285" s="2" t="s">
        <v>132</v>
      </c>
      <c r="B285" s="2" t="s">
        <v>49</v>
      </c>
      <c r="C285" s="2" t="s">
        <v>50</v>
      </c>
      <c r="D285" s="2" t="s">
        <v>231</v>
      </c>
      <c r="E285">
        <v>2018</v>
      </c>
      <c r="F285" s="2" t="s">
        <v>6</v>
      </c>
      <c r="G285">
        <v>1</v>
      </c>
      <c r="H285" s="2" t="s">
        <v>7</v>
      </c>
      <c r="I285">
        <v>1</v>
      </c>
      <c r="J285" s="2" t="s">
        <v>16</v>
      </c>
      <c r="K285">
        <v>1</v>
      </c>
      <c r="L285" s="2" t="s">
        <v>19</v>
      </c>
      <c r="M285">
        <v>1</v>
      </c>
      <c r="N285" s="2" t="s">
        <v>45</v>
      </c>
      <c r="O285">
        <v>1</v>
      </c>
    </row>
    <row r="286" spans="1:15" x14ac:dyDescent="0.35">
      <c r="A286" s="2" t="s">
        <v>132</v>
      </c>
      <c r="B286" s="2" t="s">
        <v>49</v>
      </c>
      <c r="C286" s="2" t="s">
        <v>50</v>
      </c>
      <c r="D286" s="2" t="s">
        <v>231</v>
      </c>
      <c r="E286">
        <v>2018</v>
      </c>
      <c r="F286" s="2" t="s">
        <v>6</v>
      </c>
      <c r="G286">
        <v>1</v>
      </c>
      <c r="H286" s="2" t="s">
        <v>7</v>
      </c>
      <c r="I286">
        <v>1</v>
      </c>
      <c r="J286" s="2" t="s">
        <v>17</v>
      </c>
      <c r="K286">
        <v>1</v>
      </c>
      <c r="L286" s="2" t="s">
        <v>19</v>
      </c>
      <c r="M286">
        <v>1</v>
      </c>
      <c r="N286" s="2" t="s">
        <v>35</v>
      </c>
      <c r="O286">
        <v>1</v>
      </c>
    </row>
    <row r="287" spans="1:15" x14ac:dyDescent="0.35">
      <c r="A287" s="2" t="s">
        <v>132</v>
      </c>
      <c r="B287" s="2" t="s">
        <v>49</v>
      </c>
      <c r="C287" s="2" t="s">
        <v>50</v>
      </c>
      <c r="D287" s="2" t="s">
        <v>231</v>
      </c>
      <c r="E287">
        <v>2018</v>
      </c>
      <c r="F287" s="2" t="s">
        <v>6</v>
      </c>
      <c r="G287">
        <v>1</v>
      </c>
      <c r="H287" s="2" t="s">
        <v>7</v>
      </c>
      <c r="I287">
        <v>1</v>
      </c>
      <c r="J287" s="2" t="s">
        <v>17</v>
      </c>
      <c r="K287">
        <v>1</v>
      </c>
      <c r="L287" s="2" t="s">
        <v>19</v>
      </c>
      <c r="M287">
        <v>1</v>
      </c>
      <c r="N287" s="2" t="s">
        <v>45</v>
      </c>
      <c r="O287">
        <v>1</v>
      </c>
    </row>
    <row r="288" spans="1:15" x14ac:dyDescent="0.35">
      <c r="A288" s="2" t="s">
        <v>140</v>
      </c>
      <c r="B288" s="2" t="s">
        <v>49</v>
      </c>
      <c r="C288" s="2" t="s">
        <v>50</v>
      </c>
      <c r="D288" s="2" t="s">
        <v>231</v>
      </c>
      <c r="E288">
        <v>2018</v>
      </c>
      <c r="F288" s="2" t="s">
        <v>6</v>
      </c>
      <c r="G288">
        <v>1</v>
      </c>
      <c r="H288" s="2" t="s">
        <v>7</v>
      </c>
      <c r="I288">
        <v>1</v>
      </c>
      <c r="J288" s="2" t="s">
        <v>14</v>
      </c>
      <c r="K288">
        <v>1</v>
      </c>
      <c r="L288" s="2" t="s">
        <v>24</v>
      </c>
      <c r="M288">
        <v>1</v>
      </c>
      <c r="N288" s="2" t="s">
        <v>33</v>
      </c>
      <c r="O288">
        <v>1</v>
      </c>
    </row>
    <row r="289" spans="1:15" x14ac:dyDescent="0.35">
      <c r="A289" s="2" t="s">
        <v>140</v>
      </c>
      <c r="B289" s="2" t="s">
        <v>49</v>
      </c>
      <c r="C289" s="2" t="s">
        <v>50</v>
      </c>
      <c r="D289" s="2" t="s">
        <v>231</v>
      </c>
      <c r="E289">
        <v>2018</v>
      </c>
      <c r="F289" s="2" t="s">
        <v>6</v>
      </c>
      <c r="G289">
        <v>1</v>
      </c>
      <c r="H289" s="2" t="s">
        <v>7</v>
      </c>
      <c r="I289">
        <v>1</v>
      </c>
      <c r="J289" s="2" t="s">
        <v>14</v>
      </c>
      <c r="K289">
        <v>1</v>
      </c>
      <c r="L289" s="2" t="s">
        <v>24</v>
      </c>
      <c r="M289">
        <v>1</v>
      </c>
      <c r="N289" s="2" t="s">
        <v>38</v>
      </c>
      <c r="O289">
        <v>1</v>
      </c>
    </row>
    <row r="290" spans="1:15" x14ac:dyDescent="0.35">
      <c r="A290" s="2" t="s">
        <v>140</v>
      </c>
      <c r="B290" s="2" t="s">
        <v>49</v>
      </c>
      <c r="C290" s="2" t="s">
        <v>50</v>
      </c>
      <c r="D290" s="2" t="s">
        <v>231</v>
      </c>
      <c r="E290">
        <v>2018</v>
      </c>
      <c r="F290" s="2" t="s">
        <v>6</v>
      </c>
      <c r="G290">
        <v>1</v>
      </c>
      <c r="H290" s="2" t="s">
        <v>7</v>
      </c>
      <c r="I290">
        <v>1</v>
      </c>
      <c r="J290" s="2" t="s">
        <v>14</v>
      </c>
      <c r="K290">
        <v>1</v>
      </c>
      <c r="L290" s="2" t="s">
        <v>24</v>
      </c>
      <c r="M290">
        <v>1</v>
      </c>
      <c r="N290" s="2" t="s">
        <v>44</v>
      </c>
      <c r="O290">
        <v>1</v>
      </c>
    </row>
    <row r="291" spans="1:15" x14ac:dyDescent="0.35">
      <c r="A291" s="2" t="s">
        <v>140</v>
      </c>
      <c r="B291" s="2" t="s">
        <v>49</v>
      </c>
      <c r="C291" s="2" t="s">
        <v>50</v>
      </c>
      <c r="D291" s="2" t="s">
        <v>231</v>
      </c>
      <c r="E291">
        <v>2018</v>
      </c>
      <c r="F291" s="2" t="s">
        <v>6</v>
      </c>
      <c r="G291">
        <v>1</v>
      </c>
      <c r="H291" s="2" t="s">
        <v>7</v>
      </c>
      <c r="I291">
        <v>1</v>
      </c>
      <c r="J291" s="2" t="s">
        <v>15</v>
      </c>
      <c r="K291">
        <v>1</v>
      </c>
      <c r="L291" s="2" t="s">
        <v>24</v>
      </c>
      <c r="M291">
        <v>1</v>
      </c>
      <c r="N291" s="2" t="s">
        <v>33</v>
      </c>
      <c r="O291">
        <v>1</v>
      </c>
    </row>
    <row r="292" spans="1:15" x14ac:dyDescent="0.35">
      <c r="A292" s="2" t="s">
        <v>140</v>
      </c>
      <c r="B292" s="2" t="s">
        <v>49</v>
      </c>
      <c r="C292" s="2" t="s">
        <v>50</v>
      </c>
      <c r="D292" s="2" t="s">
        <v>231</v>
      </c>
      <c r="E292">
        <v>2018</v>
      </c>
      <c r="F292" s="2" t="s">
        <v>6</v>
      </c>
      <c r="G292">
        <v>1</v>
      </c>
      <c r="H292" s="2" t="s">
        <v>7</v>
      </c>
      <c r="I292">
        <v>1</v>
      </c>
      <c r="J292" s="2" t="s">
        <v>15</v>
      </c>
      <c r="K292">
        <v>1</v>
      </c>
      <c r="L292" s="2" t="s">
        <v>24</v>
      </c>
      <c r="M292">
        <v>1</v>
      </c>
      <c r="N292" s="2" t="s">
        <v>38</v>
      </c>
      <c r="O292">
        <v>1</v>
      </c>
    </row>
    <row r="293" spans="1:15" x14ac:dyDescent="0.35">
      <c r="A293" s="2" t="s">
        <v>140</v>
      </c>
      <c r="B293" s="2" t="s">
        <v>49</v>
      </c>
      <c r="C293" s="2" t="s">
        <v>50</v>
      </c>
      <c r="D293" s="2" t="s">
        <v>231</v>
      </c>
      <c r="E293">
        <v>2018</v>
      </c>
      <c r="F293" s="2" t="s">
        <v>6</v>
      </c>
      <c r="G293">
        <v>1</v>
      </c>
      <c r="H293" s="2" t="s">
        <v>7</v>
      </c>
      <c r="I293">
        <v>1</v>
      </c>
      <c r="J293" s="2" t="s">
        <v>15</v>
      </c>
      <c r="K293">
        <v>1</v>
      </c>
      <c r="L293" s="2" t="s">
        <v>24</v>
      </c>
      <c r="M293">
        <v>1</v>
      </c>
      <c r="N293" s="2" t="s">
        <v>44</v>
      </c>
      <c r="O293">
        <v>1</v>
      </c>
    </row>
    <row r="294" spans="1:15" x14ac:dyDescent="0.35">
      <c r="A294" s="2" t="s">
        <v>143</v>
      </c>
      <c r="B294" s="2" t="s">
        <v>49</v>
      </c>
      <c r="C294" s="2" t="s">
        <v>50</v>
      </c>
      <c r="D294" s="2" t="s">
        <v>231</v>
      </c>
      <c r="E294">
        <v>2018</v>
      </c>
      <c r="F294" s="2" t="s">
        <v>6</v>
      </c>
      <c r="G294">
        <v>1</v>
      </c>
      <c r="H294" s="2" t="s">
        <v>7</v>
      </c>
      <c r="I294">
        <v>1</v>
      </c>
      <c r="J294" s="2" t="s">
        <v>15</v>
      </c>
      <c r="K294">
        <v>1</v>
      </c>
      <c r="L294" s="2" t="s">
        <v>19</v>
      </c>
      <c r="M294">
        <v>1</v>
      </c>
      <c r="N294" s="2" t="s">
        <v>35</v>
      </c>
      <c r="O294">
        <v>1</v>
      </c>
    </row>
    <row r="295" spans="1:15" x14ac:dyDescent="0.35">
      <c r="A295" s="2" t="s">
        <v>143</v>
      </c>
      <c r="B295" s="2" t="s">
        <v>49</v>
      </c>
      <c r="C295" s="2" t="s">
        <v>50</v>
      </c>
      <c r="D295" s="2" t="s">
        <v>231</v>
      </c>
      <c r="E295">
        <v>2018</v>
      </c>
      <c r="F295" s="2" t="s">
        <v>6</v>
      </c>
      <c r="G295">
        <v>1</v>
      </c>
      <c r="H295" s="2" t="s">
        <v>7</v>
      </c>
      <c r="I295">
        <v>1</v>
      </c>
      <c r="J295" s="2" t="s">
        <v>15</v>
      </c>
      <c r="K295">
        <v>1</v>
      </c>
      <c r="L295" s="2" t="s">
        <v>19</v>
      </c>
      <c r="M295">
        <v>1</v>
      </c>
      <c r="N295" s="2" t="s">
        <v>45</v>
      </c>
      <c r="O295">
        <v>1</v>
      </c>
    </row>
    <row r="296" spans="1:15" x14ac:dyDescent="0.35">
      <c r="A296" s="2" t="s">
        <v>143</v>
      </c>
      <c r="B296" s="2" t="s">
        <v>49</v>
      </c>
      <c r="C296" s="2" t="s">
        <v>50</v>
      </c>
      <c r="D296" s="2" t="s">
        <v>231</v>
      </c>
      <c r="E296">
        <v>2018</v>
      </c>
      <c r="F296" s="2" t="s">
        <v>6</v>
      </c>
      <c r="G296">
        <v>1</v>
      </c>
      <c r="H296" s="2" t="s">
        <v>7</v>
      </c>
      <c r="I296">
        <v>1</v>
      </c>
      <c r="J296" s="2" t="s">
        <v>16</v>
      </c>
      <c r="K296">
        <v>1</v>
      </c>
      <c r="L296" s="2" t="s">
        <v>19</v>
      </c>
      <c r="M296">
        <v>1</v>
      </c>
      <c r="N296" s="2" t="s">
        <v>35</v>
      </c>
      <c r="O296">
        <v>1</v>
      </c>
    </row>
    <row r="297" spans="1:15" x14ac:dyDescent="0.35">
      <c r="A297" s="2" t="s">
        <v>143</v>
      </c>
      <c r="B297" s="2" t="s">
        <v>49</v>
      </c>
      <c r="C297" s="2" t="s">
        <v>50</v>
      </c>
      <c r="D297" s="2" t="s">
        <v>231</v>
      </c>
      <c r="E297">
        <v>2018</v>
      </c>
      <c r="F297" s="2" t="s">
        <v>6</v>
      </c>
      <c r="G297">
        <v>1</v>
      </c>
      <c r="H297" s="2" t="s">
        <v>7</v>
      </c>
      <c r="I297">
        <v>1</v>
      </c>
      <c r="J297" s="2" t="s">
        <v>16</v>
      </c>
      <c r="K297">
        <v>1</v>
      </c>
      <c r="L297" s="2" t="s">
        <v>19</v>
      </c>
      <c r="M297">
        <v>1</v>
      </c>
      <c r="N297" s="2" t="s">
        <v>45</v>
      </c>
      <c r="O297">
        <v>1</v>
      </c>
    </row>
    <row r="298" spans="1:15" x14ac:dyDescent="0.35">
      <c r="A298" s="2" t="s">
        <v>143</v>
      </c>
      <c r="B298" s="2" t="s">
        <v>49</v>
      </c>
      <c r="C298" s="2" t="s">
        <v>50</v>
      </c>
      <c r="D298" s="2" t="s">
        <v>231</v>
      </c>
      <c r="E298">
        <v>2018</v>
      </c>
      <c r="F298" s="2" t="s">
        <v>6</v>
      </c>
      <c r="G298">
        <v>1</v>
      </c>
      <c r="H298" s="2" t="s">
        <v>7</v>
      </c>
      <c r="I298">
        <v>1</v>
      </c>
      <c r="J298" s="2" t="s">
        <v>17</v>
      </c>
      <c r="K298">
        <v>1</v>
      </c>
      <c r="L298" s="2" t="s">
        <v>19</v>
      </c>
      <c r="M298">
        <v>1</v>
      </c>
      <c r="N298" s="2" t="s">
        <v>35</v>
      </c>
      <c r="O298">
        <v>1</v>
      </c>
    </row>
    <row r="299" spans="1:15" x14ac:dyDescent="0.35">
      <c r="A299" s="2" t="s">
        <v>143</v>
      </c>
      <c r="B299" s="2" t="s">
        <v>49</v>
      </c>
      <c r="C299" s="2" t="s">
        <v>50</v>
      </c>
      <c r="D299" s="2" t="s">
        <v>231</v>
      </c>
      <c r="E299">
        <v>2018</v>
      </c>
      <c r="F299" s="2" t="s">
        <v>6</v>
      </c>
      <c r="G299">
        <v>1</v>
      </c>
      <c r="H299" s="2" t="s">
        <v>7</v>
      </c>
      <c r="I299">
        <v>1</v>
      </c>
      <c r="J299" s="2" t="s">
        <v>17</v>
      </c>
      <c r="K299">
        <v>1</v>
      </c>
      <c r="L299" s="2" t="s">
        <v>19</v>
      </c>
      <c r="M299">
        <v>1</v>
      </c>
      <c r="N299" s="2" t="s">
        <v>45</v>
      </c>
      <c r="O299">
        <v>1</v>
      </c>
    </row>
    <row r="300" spans="1:15" x14ac:dyDescent="0.35">
      <c r="A300" s="2" t="s">
        <v>147</v>
      </c>
      <c r="B300" s="2" t="s">
        <v>49</v>
      </c>
      <c r="C300" s="2" t="s">
        <v>50</v>
      </c>
      <c r="D300" s="2" t="s">
        <v>231</v>
      </c>
      <c r="E300">
        <v>2019</v>
      </c>
      <c r="F300" s="2" t="s">
        <v>6</v>
      </c>
      <c r="G300">
        <v>1</v>
      </c>
      <c r="H300" s="2" t="s">
        <v>7</v>
      </c>
      <c r="I300">
        <v>1</v>
      </c>
      <c r="J300" s="2" t="s">
        <v>15</v>
      </c>
      <c r="K300">
        <v>1</v>
      </c>
      <c r="L300" s="2" t="s">
        <v>19</v>
      </c>
      <c r="M300">
        <v>1</v>
      </c>
      <c r="N300" s="2" t="s">
        <v>35</v>
      </c>
      <c r="O300">
        <v>1</v>
      </c>
    </row>
    <row r="301" spans="1:15" x14ac:dyDescent="0.35">
      <c r="A301" s="2" t="s">
        <v>147</v>
      </c>
      <c r="B301" s="2" t="s">
        <v>49</v>
      </c>
      <c r="C301" s="2" t="s">
        <v>50</v>
      </c>
      <c r="D301" s="2" t="s">
        <v>231</v>
      </c>
      <c r="E301">
        <v>2019</v>
      </c>
      <c r="F301" s="2" t="s">
        <v>6</v>
      </c>
      <c r="G301">
        <v>1</v>
      </c>
      <c r="H301" s="2" t="s">
        <v>7</v>
      </c>
      <c r="I301">
        <v>1</v>
      </c>
      <c r="J301" s="2" t="s">
        <v>15</v>
      </c>
      <c r="K301">
        <v>1</v>
      </c>
      <c r="L301" s="2" t="s">
        <v>19</v>
      </c>
      <c r="M301">
        <v>1</v>
      </c>
      <c r="N301" s="2" t="s">
        <v>45</v>
      </c>
      <c r="O301">
        <v>1</v>
      </c>
    </row>
    <row r="302" spans="1:15" x14ac:dyDescent="0.35">
      <c r="A302" s="2" t="s">
        <v>147</v>
      </c>
      <c r="B302" s="2" t="s">
        <v>49</v>
      </c>
      <c r="C302" s="2" t="s">
        <v>50</v>
      </c>
      <c r="D302" s="2" t="s">
        <v>231</v>
      </c>
      <c r="E302">
        <v>2019</v>
      </c>
      <c r="F302" s="2" t="s">
        <v>6</v>
      </c>
      <c r="G302">
        <v>1</v>
      </c>
      <c r="H302" s="2" t="s">
        <v>7</v>
      </c>
      <c r="I302">
        <v>1</v>
      </c>
      <c r="J302" s="2" t="s">
        <v>16</v>
      </c>
      <c r="K302">
        <v>1</v>
      </c>
      <c r="L302" s="2" t="s">
        <v>19</v>
      </c>
      <c r="M302">
        <v>1</v>
      </c>
      <c r="N302" s="2" t="s">
        <v>35</v>
      </c>
      <c r="O302">
        <v>1</v>
      </c>
    </row>
    <row r="303" spans="1:15" x14ac:dyDescent="0.35">
      <c r="A303" s="2" t="s">
        <v>147</v>
      </c>
      <c r="B303" s="2" t="s">
        <v>49</v>
      </c>
      <c r="C303" s="2" t="s">
        <v>50</v>
      </c>
      <c r="D303" s="2" t="s">
        <v>231</v>
      </c>
      <c r="E303">
        <v>2019</v>
      </c>
      <c r="F303" s="2" t="s">
        <v>6</v>
      </c>
      <c r="G303">
        <v>1</v>
      </c>
      <c r="H303" s="2" t="s">
        <v>7</v>
      </c>
      <c r="I303">
        <v>1</v>
      </c>
      <c r="J303" s="2" t="s">
        <v>16</v>
      </c>
      <c r="K303">
        <v>1</v>
      </c>
      <c r="L303" s="2" t="s">
        <v>19</v>
      </c>
      <c r="M303">
        <v>1</v>
      </c>
      <c r="N303" s="2" t="s">
        <v>45</v>
      </c>
      <c r="O303">
        <v>1</v>
      </c>
    </row>
    <row r="304" spans="1:15" x14ac:dyDescent="0.35">
      <c r="A304" s="2" t="s">
        <v>147</v>
      </c>
      <c r="B304" s="2" t="s">
        <v>49</v>
      </c>
      <c r="C304" s="2" t="s">
        <v>50</v>
      </c>
      <c r="D304" s="2" t="s">
        <v>231</v>
      </c>
      <c r="E304">
        <v>2019</v>
      </c>
      <c r="F304" s="2" t="s">
        <v>6</v>
      </c>
      <c r="G304">
        <v>1</v>
      </c>
      <c r="H304" s="2" t="s">
        <v>7</v>
      </c>
      <c r="I304">
        <v>1</v>
      </c>
      <c r="J304" s="2" t="s">
        <v>17</v>
      </c>
      <c r="K304">
        <v>1</v>
      </c>
      <c r="L304" s="2" t="s">
        <v>19</v>
      </c>
      <c r="M304">
        <v>1</v>
      </c>
      <c r="N304" s="2" t="s">
        <v>35</v>
      </c>
      <c r="O304">
        <v>1</v>
      </c>
    </row>
    <row r="305" spans="1:15" x14ac:dyDescent="0.35">
      <c r="A305" s="2" t="s">
        <v>147</v>
      </c>
      <c r="B305" s="2" t="s">
        <v>49</v>
      </c>
      <c r="C305" s="2" t="s">
        <v>50</v>
      </c>
      <c r="D305" s="2" t="s">
        <v>231</v>
      </c>
      <c r="E305">
        <v>2019</v>
      </c>
      <c r="F305" s="2" t="s">
        <v>6</v>
      </c>
      <c r="G305">
        <v>1</v>
      </c>
      <c r="H305" s="2" t="s">
        <v>7</v>
      </c>
      <c r="I305">
        <v>1</v>
      </c>
      <c r="J305" s="2" t="s">
        <v>17</v>
      </c>
      <c r="K305">
        <v>1</v>
      </c>
      <c r="L305" s="2" t="s">
        <v>19</v>
      </c>
      <c r="M305">
        <v>1</v>
      </c>
      <c r="N305" s="2" t="s">
        <v>45</v>
      </c>
      <c r="O305">
        <v>1</v>
      </c>
    </row>
    <row r="306" spans="1:15" x14ac:dyDescent="0.35">
      <c r="A306" s="2" t="s">
        <v>54</v>
      </c>
      <c r="B306" s="2" t="s">
        <v>49</v>
      </c>
      <c r="C306" s="2" t="s">
        <v>50</v>
      </c>
      <c r="D306" s="2" t="s">
        <v>231</v>
      </c>
      <c r="E306">
        <v>2021</v>
      </c>
      <c r="F306" s="2" t="s">
        <v>6</v>
      </c>
      <c r="G306">
        <v>1</v>
      </c>
      <c r="H306" s="2" t="s">
        <v>13</v>
      </c>
      <c r="I306">
        <v>1</v>
      </c>
      <c r="J306" s="2" t="s">
        <v>15</v>
      </c>
      <c r="K306">
        <v>1</v>
      </c>
      <c r="L306" s="2" t="s">
        <v>19</v>
      </c>
      <c r="M306">
        <v>1</v>
      </c>
      <c r="N306" s="2" t="s">
        <v>35</v>
      </c>
      <c r="O306">
        <v>1</v>
      </c>
    </row>
    <row r="307" spans="1:15" x14ac:dyDescent="0.35">
      <c r="A307" s="2" t="s">
        <v>54</v>
      </c>
      <c r="B307" s="2" t="s">
        <v>49</v>
      </c>
      <c r="C307" s="2" t="s">
        <v>50</v>
      </c>
      <c r="D307" s="2" t="s">
        <v>231</v>
      </c>
      <c r="E307">
        <v>2021</v>
      </c>
      <c r="F307" s="2" t="s">
        <v>6</v>
      </c>
      <c r="G307">
        <v>1</v>
      </c>
      <c r="H307" s="2" t="s">
        <v>13</v>
      </c>
      <c r="I307">
        <v>1</v>
      </c>
      <c r="J307" s="2" t="s">
        <v>15</v>
      </c>
      <c r="K307">
        <v>1</v>
      </c>
      <c r="L307" s="2" t="s">
        <v>19</v>
      </c>
      <c r="M307">
        <v>1</v>
      </c>
      <c r="N307" s="2" t="s">
        <v>45</v>
      </c>
      <c r="O307">
        <v>1</v>
      </c>
    </row>
    <row r="308" spans="1:15" x14ac:dyDescent="0.35">
      <c r="A308" s="2" t="s">
        <v>54</v>
      </c>
      <c r="B308" s="2" t="s">
        <v>49</v>
      </c>
      <c r="C308" s="2" t="s">
        <v>50</v>
      </c>
      <c r="D308" s="2" t="s">
        <v>231</v>
      </c>
      <c r="E308">
        <v>2021</v>
      </c>
      <c r="F308" s="2" t="s">
        <v>6</v>
      </c>
      <c r="G308">
        <v>1</v>
      </c>
      <c r="H308" s="2" t="s">
        <v>13</v>
      </c>
      <c r="I308">
        <v>1</v>
      </c>
      <c r="J308" s="2" t="s">
        <v>16</v>
      </c>
      <c r="K308">
        <v>1</v>
      </c>
      <c r="L308" s="2" t="s">
        <v>19</v>
      </c>
      <c r="M308">
        <v>1</v>
      </c>
      <c r="N308" s="2" t="s">
        <v>35</v>
      </c>
      <c r="O308">
        <v>1</v>
      </c>
    </row>
    <row r="309" spans="1:15" x14ac:dyDescent="0.35">
      <c r="A309" s="2" t="s">
        <v>54</v>
      </c>
      <c r="B309" s="2" t="s">
        <v>49</v>
      </c>
      <c r="C309" s="2" t="s">
        <v>50</v>
      </c>
      <c r="D309" s="2" t="s">
        <v>231</v>
      </c>
      <c r="E309">
        <v>2021</v>
      </c>
      <c r="F309" s="2" t="s">
        <v>6</v>
      </c>
      <c r="G309">
        <v>1</v>
      </c>
      <c r="H309" s="2" t="s">
        <v>13</v>
      </c>
      <c r="I309">
        <v>1</v>
      </c>
      <c r="J309" s="2" t="s">
        <v>16</v>
      </c>
      <c r="K309">
        <v>1</v>
      </c>
      <c r="L309" s="2" t="s">
        <v>19</v>
      </c>
      <c r="M309">
        <v>1</v>
      </c>
      <c r="N309" s="2" t="s">
        <v>45</v>
      </c>
      <c r="O309">
        <v>1</v>
      </c>
    </row>
    <row r="310" spans="1:15" x14ac:dyDescent="0.35">
      <c r="A310" s="2" t="s">
        <v>59</v>
      </c>
      <c r="B310" s="2" t="s">
        <v>49</v>
      </c>
      <c r="C310" s="2" t="s">
        <v>50</v>
      </c>
      <c r="D310" s="2" t="s">
        <v>231</v>
      </c>
      <c r="E310">
        <v>2018</v>
      </c>
      <c r="F310" s="2" t="s">
        <v>6</v>
      </c>
      <c r="G310">
        <v>1</v>
      </c>
      <c r="H310" s="2" t="s">
        <v>13</v>
      </c>
      <c r="I310">
        <v>1</v>
      </c>
      <c r="J310" s="2" t="s">
        <v>16</v>
      </c>
      <c r="K310">
        <v>1</v>
      </c>
      <c r="L310" s="2" t="s">
        <v>22</v>
      </c>
      <c r="M310">
        <v>1</v>
      </c>
      <c r="N310" s="2" t="s">
        <v>37</v>
      </c>
      <c r="O310">
        <v>1</v>
      </c>
    </row>
    <row r="311" spans="1:15" x14ac:dyDescent="0.35">
      <c r="A311" s="2" t="s">
        <v>59</v>
      </c>
      <c r="B311" s="2" t="s">
        <v>49</v>
      </c>
      <c r="C311" s="2" t="s">
        <v>50</v>
      </c>
      <c r="D311" s="2" t="s">
        <v>231</v>
      </c>
      <c r="E311">
        <v>2018</v>
      </c>
      <c r="F311" s="2" t="s">
        <v>6</v>
      </c>
      <c r="G311">
        <v>1</v>
      </c>
      <c r="H311" s="2" t="s">
        <v>13</v>
      </c>
      <c r="I311">
        <v>1</v>
      </c>
      <c r="J311" s="2" t="s">
        <v>16</v>
      </c>
      <c r="K311">
        <v>1</v>
      </c>
      <c r="L311" s="2" t="s">
        <v>22</v>
      </c>
      <c r="M311">
        <v>1</v>
      </c>
      <c r="N311" s="2" t="s">
        <v>38</v>
      </c>
      <c r="O311">
        <v>1</v>
      </c>
    </row>
    <row r="312" spans="1:15" x14ac:dyDescent="0.35">
      <c r="A312" s="2" t="s">
        <v>59</v>
      </c>
      <c r="B312" s="2" t="s">
        <v>49</v>
      </c>
      <c r="C312" s="2" t="s">
        <v>50</v>
      </c>
      <c r="D312" s="2" t="s">
        <v>231</v>
      </c>
      <c r="E312">
        <v>2018</v>
      </c>
      <c r="F312" s="2" t="s">
        <v>6</v>
      </c>
      <c r="G312">
        <v>1</v>
      </c>
      <c r="H312" s="2" t="s">
        <v>13</v>
      </c>
      <c r="I312">
        <v>1</v>
      </c>
      <c r="J312" s="2" t="s">
        <v>16</v>
      </c>
      <c r="K312">
        <v>1</v>
      </c>
      <c r="L312" s="2" t="s">
        <v>22</v>
      </c>
      <c r="M312">
        <v>1</v>
      </c>
      <c r="N312" s="2" t="s">
        <v>40</v>
      </c>
      <c r="O312">
        <v>1</v>
      </c>
    </row>
    <row r="313" spans="1:15" x14ac:dyDescent="0.35">
      <c r="A313" s="2" t="s">
        <v>59</v>
      </c>
      <c r="B313" s="2" t="s">
        <v>49</v>
      </c>
      <c r="C313" s="2" t="s">
        <v>50</v>
      </c>
      <c r="D313" s="2" t="s">
        <v>231</v>
      </c>
      <c r="E313">
        <v>2018</v>
      </c>
      <c r="F313" s="2" t="s">
        <v>6</v>
      </c>
      <c r="G313">
        <v>1</v>
      </c>
      <c r="H313" s="2" t="s">
        <v>13</v>
      </c>
      <c r="I313">
        <v>1</v>
      </c>
      <c r="J313" s="2" t="s">
        <v>16</v>
      </c>
      <c r="K313">
        <v>1</v>
      </c>
      <c r="L313" s="2" t="s">
        <v>22</v>
      </c>
      <c r="M313">
        <v>1</v>
      </c>
      <c r="N313" s="2" t="s">
        <v>44</v>
      </c>
      <c r="O313">
        <v>1</v>
      </c>
    </row>
    <row r="314" spans="1:15" x14ac:dyDescent="0.35">
      <c r="A314" s="2" t="s">
        <v>59</v>
      </c>
      <c r="B314" s="2" t="s">
        <v>49</v>
      </c>
      <c r="C314" s="2" t="s">
        <v>50</v>
      </c>
      <c r="D314" s="2" t="s">
        <v>231</v>
      </c>
      <c r="E314">
        <v>2018</v>
      </c>
      <c r="F314" s="2" t="s">
        <v>6</v>
      </c>
      <c r="G314">
        <v>1</v>
      </c>
      <c r="H314" s="2" t="s">
        <v>13</v>
      </c>
      <c r="I314">
        <v>1</v>
      </c>
      <c r="J314" s="2" t="s">
        <v>16</v>
      </c>
      <c r="K314">
        <v>1</v>
      </c>
      <c r="L314" s="2" t="s">
        <v>22</v>
      </c>
      <c r="M314">
        <v>1</v>
      </c>
      <c r="N314" s="2" t="s">
        <v>46</v>
      </c>
      <c r="O314">
        <v>1</v>
      </c>
    </row>
    <row r="315" spans="1:15" x14ac:dyDescent="0.35">
      <c r="A315" s="2" t="s">
        <v>59</v>
      </c>
      <c r="B315" s="2" t="s">
        <v>49</v>
      </c>
      <c r="C315" s="2" t="s">
        <v>50</v>
      </c>
      <c r="D315" s="2" t="s">
        <v>231</v>
      </c>
      <c r="E315">
        <v>2018</v>
      </c>
      <c r="F315" s="2" t="s">
        <v>6</v>
      </c>
      <c r="G315">
        <v>1</v>
      </c>
      <c r="H315" s="2" t="s">
        <v>13</v>
      </c>
      <c r="I315">
        <v>1</v>
      </c>
      <c r="J315" s="2" t="s">
        <v>16</v>
      </c>
      <c r="K315">
        <v>1</v>
      </c>
      <c r="L315" s="2" t="s">
        <v>24</v>
      </c>
      <c r="M315">
        <v>1</v>
      </c>
      <c r="N315" s="2" t="s">
        <v>37</v>
      </c>
      <c r="O315">
        <v>1</v>
      </c>
    </row>
    <row r="316" spans="1:15" x14ac:dyDescent="0.35">
      <c r="A316" s="2" t="s">
        <v>59</v>
      </c>
      <c r="B316" s="2" t="s">
        <v>49</v>
      </c>
      <c r="C316" s="2" t="s">
        <v>50</v>
      </c>
      <c r="D316" s="2" t="s">
        <v>231</v>
      </c>
      <c r="E316">
        <v>2018</v>
      </c>
      <c r="F316" s="2" t="s">
        <v>6</v>
      </c>
      <c r="G316">
        <v>1</v>
      </c>
      <c r="H316" s="2" t="s">
        <v>13</v>
      </c>
      <c r="I316">
        <v>1</v>
      </c>
      <c r="J316" s="2" t="s">
        <v>16</v>
      </c>
      <c r="K316">
        <v>1</v>
      </c>
      <c r="L316" s="2" t="s">
        <v>24</v>
      </c>
      <c r="M316">
        <v>1</v>
      </c>
      <c r="N316" s="2" t="s">
        <v>38</v>
      </c>
      <c r="O316">
        <v>1</v>
      </c>
    </row>
    <row r="317" spans="1:15" x14ac:dyDescent="0.35">
      <c r="A317" s="2" t="s">
        <v>59</v>
      </c>
      <c r="B317" s="2" t="s">
        <v>49</v>
      </c>
      <c r="C317" s="2" t="s">
        <v>50</v>
      </c>
      <c r="D317" s="2" t="s">
        <v>231</v>
      </c>
      <c r="E317">
        <v>2018</v>
      </c>
      <c r="F317" s="2" t="s">
        <v>6</v>
      </c>
      <c r="G317">
        <v>1</v>
      </c>
      <c r="H317" s="2" t="s">
        <v>13</v>
      </c>
      <c r="I317">
        <v>1</v>
      </c>
      <c r="J317" s="2" t="s">
        <v>16</v>
      </c>
      <c r="K317">
        <v>1</v>
      </c>
      <c r="L317" s="2" t="s">
        <v>24</v>
      </c>
      <c r="M317">
        <v>1</v>
      </c>
      <c r="N317" s="2" t="s">
        <v>40</v>
      </c>
      <c r="O317">
        <v>1</v>
      </c>
    </row>
    <row r="318" spans="1:15" x14ac:dyDescent="0.35">
      <c r="A318" s="2" t="s">
        <v>59</v>
      </c>
      <c r="B318" s="2" t="s">
        <v>49</v>
      </c>
      <c r="C318" s="2" t="s">
        <v>50</v>
      </c>
      <c r="D318" s="2" t="s">
        <v>231</v>
      </c>
      <c r="E318">
        <v>2018</v>
      </c>
      <c r="F318" s="2" t="s">
        <v>6</v>
      </c>
      <c r="G318">
        <v>1</v>
      </c>
      <c r="H318" s="2" t="s">
        <v>13</v>
      </c>
      <c r="I318">
        <v>1</v>
      </c>
      <c r="J318" s="2" t="s">
        <v>16</v>
      </c>
      <c r="K318">
        <v>1</v>
      </c>
      <c r="L318" s="2" t="s">
        <v>24</v>
      </c>
      <c r="M318">
        <v>1</v>
      </c>
      <c r="N318" s="2" t="s">
        <v>44</v>
      </c>
      <c r="O318">
        <v>1</v>
      </c>
    </row>
    <row r="319" spans="1:15" x14ac:dyDescent="0.35">
      <c r="A319" s="2" t="s">
        <v>59</v>
      </c>
      <c r="B319" s="2" t="s">
        <v>49</v>
      </c>
      <c r="C319" s="2" t="s">
        <v>50</v>
      </c>
      <c r="D319" s="2" t="s">
        <v>231</v>
      </c>
      <c r="E319">
        <v>2018</v>
      </c>
      <c r="F319" s="2" t="s">
        <v>6</v>
      </c>
      <c r="G319">
        <v>1</v>
      </c>
      <c r="H319" s="2" t="s">
        <v>13</v>
      </c>
      <c r="I319">
        <v>1</v>
      </c>
      <c r="J319" s="2" t="s">
        <v>16</v>
      </c>
      <c r="K319">
        <v>1</v>
      </c>
      <c r="L319" s="2" t="s">
        <v>24</v>
      </c>
      <c r="M319">
        <v>1</v>
      </c>
      <c r="N319" s="2" t="s">
        <v>46</v>
      </c>
      <c r="O319">
        <v>1</v>
      </c>
    </row>
    <row r="320" spans="1:15" x14ac:dyDescent="0.35">
      <c r="A320" s="2" t="s">
        <v>59</v>
      </c>
      <c r="B320" s="2" t="s">
        <v>49</v>
      </c>
      <c r="C320" s="2" t="s">
        <v>50</v>
      </c>
      <c r="D320" s="2" t="s">
        <v>231</v>
      </c>
      <c r="E320">
        <v>2018</v>
      </c>
      <c r="F320" s="2" t="s">
        <v>6</v>
      </c>
      <c r="G320">
        <v>1</v>
      </c>
      <c r="H320" s="2" t="s">
        <v>13</v>
      </c>
      <c r="I320">
        <v>1</v>
      </c>
      <c r="J320" s="2" t="s">
        <v>17</v>
      </c>
      <c r="K320">
        <v>1</v>
      </c>
      <c r="L320" s="2" t="s">
        <v>22</v>
      </c>
      <c r="M320">
        <v>1</v>
      </c>
      <c r="N320" s="2" t="s">
        <v>37</v>
      </c>
      <c r="O320">
        <v>1</v>
      </c>
    </row>
    <row r="321" spans="1:15" x14ac:dyDescent="0.35">
      <c r="A321" s="2" t="s">
        <v>59</v>
      </c>
      <c r="B321" s="2" t="s">
        <v>49</v>
      </c>
      <c r="C321" s="2" t="s">
        <v>50</v>
      </c>
      <c r="D321" s="2" t="s">
        <v>231</v>
      </c>
      <c r="E321">
        <v>2018</v>
      </c>
      <c r="F321" s="2" t="s">
        <v>6</v>
      </c>
      <c r="G321">
        <v>1</v>
      </c>
      <c r="H321" s="2" t="s">
        <v>13</v>
      </c>
      <c r="I321">
        <v>1</v>
      </c>
      <c r="J321" s="2" t="s">
        <v>17</v>
      </c>
      <c r="K321">
        <v>1</v>
      </c>
      <c r="L321" s="2" t="s">
        <v>22</v>
      </c>
      <c r="M321">
        <v>1</v>
      </c>
      <c r="N321" s="2" t="s">
        <v>38</v>
      </c>
      <c r="O321">
        <v>1</v>
      </c>
    </row>
    <row r="322" spans="1:15" x14ac:dyDescent="0.35">
      <c r="A322" s="2" t="s">
        <v>59</v>
      </c>
      <c r="B322" s="2" t="s">
        <v>49</v>
      </c>
      <c r="C322" s="2" t="s">
        <v>50</v>
      </c>
      <c r="D322" s="2" t="s">
        <v>231</v>
      </c>
      <c r="E322">
        <v>2018</v>
      </c>
      <c r="F322" s="2" t="s">
        <v>6</v>
      </c>
      <c r="G322">
        <v>1</v>
      </c>
      <c r="H322" s="2" t="s">
        <v>13</v>
      </c>
      <c r="I322">
        <v>1</v>
      </c>
      <c r="J322" s="2" t="s">
        <v>17</v>
      </c>
      <c r="K322">
        <v>1</v>
      </c>
      <c r="L322" s="2" t="s">
        <v>22</v>
      </c>
      <c r="M322">
        <v>1</v>
      </c>
      <c r="N322" s="2" t="s">
        <v>40</v>
      </c>
      <c r="O322">
        <v>1</v>
      </c>
    </row>
    <row r="323" spans="1:15" x14ac:dyDescent="0.35">
      <c r="A323" s="2" t="s">
        <v>59</v>
      </c>
      <c r="B323" s="2" t="s">
        <v>49</v>
      </c>
      <c r="C323" s="2" t="s">
        <v>50</v>
      </c>
      <c r="D323" s="2" t="s">
        <v>231</v>
      </c>
      <c r="E323">
        <v>2018</v>
      </c>
      <c r="F323" s="2" t="s">
        <v>6</v>
      </c>
      <c r="G323">
        <v>1</v>
      </c>
      <c r="H323" s="2" t="s">
        <v>13</v>
      </c>
      <c r="I323">
        <v>1</v>
      </c>
      <c r="J323" s="2" t="s">
        <v>17</v>
      </c>
      <c r="K323">
        <v>1</v>
      </c>
      <c r="L323" s="2" t="s">
        <v>22</v>
      </c>
      <c r="M323">
        <v>1</v>
      </c>
      <c r="N323" s="2" t="s">
        <v>44</v>
      </c>
      <c r="O323">
        <v>1</v>
      </c>
    </row>
    <row r="324" spans="1:15" x14ac:dyDescent="0.35">
      <c r="A324" s="2" t="s">
        <v>59</v>
      </c>
      <c r="B324" s="2" t="s">
        <v>49</v>
      </c>
      <c r="C324" s="2" t="s">
        <v>50</v>
      </c>
      <c r="D324" s="2" t="s">
        <v>231</v>
      </c>
      <c r="E324">
        <v>2018</v>
      </c>
      <c r="F324" s="2" t="s">
        <v>6</v>
      </c>
      <c r="G324">
        <v>1</v>
      </c>
      <c r="H324" s="2" t="s">
        <v>13</v>
      </c>
      <c r="I324">
        <v>1</v>
      </c>
      <c r="J324" s="2" t="s">
        <v>17</v>
      </c>
      <c r="K324">
        <v>1</v>
      </c>
      <c r="L324" s="2" t="s">
        <v>22</v>
      </c>
      <c r="M324">
        <v>1</v>
      </c>
      <c r="N324" s="2" t="s">
        <v>46</v>
      </c>
      <c r="O324">
        <v>1</v>
      </c>
    </row>
    <row r="325" spans="1:15" x14ac:dyDescent="0.35">
      <c r="A325" s="2" t="s">
        <v>59</v>
      </c>
      <c r="B325" s="2" t="s">
        <v>49</v>
      </c>
      <c r="C325" s="2" t="s">
        <v>50</v>
      </c>
      <c r="D325" s="2" t="s">
        <v>231</v>
      </c>
      <c r="E325">
        <v>2018</v>
      </c>
      <c r="F325" s="2" t="s">
        <v>6</v>
      </c>
      <c r="G325">
        <v>1</v>
      </c>
      <c r="H325" s="2" t="s">
        <v>13</v>
      </c>
      <c r="I325">
        <v>1</v>
      </c>
      <c r="J325" s="2" t="s">
        <v>17</v>
      </c>
      <c r="K325">
        <v>1</v>
      </c>
      <c r="L325" s="2" t="s">
        <v>24</v>
      </c>
      <c r="M325">
        <v>1</v>
      </c>
      <c r="N325" s="2" t="s">
        <v>37</v>
      </c>
      <c r="O325">
        <v>1</v>
      </c>
    </row>
    <row r="326" spans="1:15" x14ac:dyDescent="0.35">
      <c r="A326" s="2" t="s">
        <v>59</v>
      </c>
      <c r="B326" s="2" t="s">
        <v>49</v>
      </c>
      <c r="C326" s="2" t="s">
        <v>50</v>
      </c>
      <c r="D326" s="2" t="s">
        <v>231</v>
      </c>
      <c r="E326">
        <v>2018</v>
      </c>
      <c r="F326" s="2" t="s">
        <v>6</v>
      </c>
      <c r="G326">
        <v>1</v>
      </c>
      <c r="H326" s="2" t="s">
        <v>13</v>
      </c>
      <c r="I326">
        <v>1</v>
      </c>
      <c r="J326" s="2" t="s">
        <v>17</v>
      </c>
      <c r="K326">
        <v>1</v>
      </c>
      <c r="L326" s="2" t="s">
        <v>24</v>
      </c>
      <c r="M326">
        <v>1</v>
      </c>
      <c r="N326" s="2" t="s">
        <v>38</v>
      </c>
      <c r="O326">
        <v>1</v>
      </c>
    </row>
    <row r="327" spans="1:15" x14ac:dyDescent="0.35">
      <c r="A327" s="2" t="s">
        <v>59</v>
      </c>
      <c r="B327" s="2" t="s">
        <v>49</v>
      </c>
      <c r="C327" s="2" t="s">
        <v>50</v>
      </c>
      <c r="D327" s="2" t="s">
        <v>231</v>
      </c>
      <c r="E327">
        <v>2018</v>
      </c>
      <c r="F327" s="2" t="s">
        <v>6</v>
      </c>
      <c r="G327">
        <v>1</v>
      </c>
      <c r="H327" s="2" t="s">
        <v>13</v>
      </c>
      <c r="I327">
        <v>1</v>
      </c>
      <c r="J327" s="2" t="s">
        <v>17</v>
      </c>
      <c r="K327">
        <v>1</v>
      </c>
      <c r="L327" s="2" t="s">
        <v>24</v>
      </c>
      <c r="M327">
        <v>1</v>
      </c>
      <c r="N327" s="2" t="s">
        <v>40</v>
      </c>
      <c r="O327">
        <v>1</v>
      </c>
    </row>
    <row r="328" spans="1:15" x14ac:dyDescent="0.35">
      <c r="A328" s="2" t="s">
        <v>59</v>
      </c>
      <c r="B328" s="2" t="s">
        <v>49</v>
      </c>
      <c r="C328" s="2" t="s">
        <v>50</v>
      </c>
      <c r="D328" s="2" t="s">
        <v>231</v>
      </c>
      <c r="E328">
        <v>2018</v>
      </c>
      <c r="F328" s="2" t="s">
        <v>6</v>
      </c>
      <c r="G328">
        <v>1</v>
      </c>
      <c r="H328" s="2" t="s">
        <v>13</v>
      </c>
      <c r="I328">
        <v>1</v>
      </c>
      <c r="J328" s="2" t="s">
        <v>17</v>
      </c>
      <c r="K328">
        <v>1</v>
      </c>
      <c r="L328" s="2" t="s">
        <v>24</v>
      </c>
      <c r="M328">
        <v>1</v>
      </c>
      <c r="N328" s="2" t="s">
        <v>44</v>
      </c>
      <c r="O328">
        <v>1</v>
      </c>
    </row>
    <row r="329" spans="1:15" x14ac:dyDescent="0.35">
      <c r="A329" s="2" t="s">
        <v>59</v>
      </c>
      <c r="B329" s="2" t="s">
        <v>49</v>
      </c>
      <c r="C329" s="2" t="s">
        <v>50</v>
      </c>
      <c r="D329" s="2" t="s">
        <v>231</v>
      </c>
      <c r="E329">
        <v>2018</v>
      </c>
      <c r="F329" s="2" t="s">
        <v>6</v>
      </c>
      <c r="G329">
        <v>1</v>
      </c>
      <c r="H329" s="2" t="s">
        <v>13</v>
      </c>
      <c r="I329">
        <v>1</v>
      </c>
      <c r="J329" s="2" t="s">
        <v>17</v>
      </c>
      <c r="K329">
        <v>1</v>
      </c>
      <c r="L329" s="2" t="s">
        <v>24</v>
      </c>
      <c r="M329">
        <v>1</v>
      </c>
      <c r="N329" s="2" t="s">
        <v>46</v>
      </c>
      <c r="O329">
        <v>1</v>
      </c>
    </row>
    <row r="330" spans="1:15" x14ac:dyDescent="0.35">
      <c r="A330" s="2" t="s">
        <v>61</v>
      </c>
      <c r="B330" s="2" t="s">
        <v>49</v>
      </c>
      <c r="C330" s="2" t="s">
        <v>50</v>
      </c>
      <c r="D330" s="2" t="s">
        <v>231</v>
      </c>
      <c r="E330">
        <v>2021</v>
      </c>
      <c r="F330" s="2" t="s">
        <v>6</v>
      </c>
      <c r="G330">
        <v>1</v>
      </c>
      <c r="H330" s="2" t="s">
        <v>13</v>
      </c>
      <c r="I330">
        <v>1</v>
      </c>
      <c r="J330" s="2" t="s">
        <v>15</v>
      </c>
      <c r="K330">
        <v>1</v>
      </c>
      <c r="L330" s="2" t="s">
        <v>19</v>
      </c>
      <c r="M330">
        <v>1</v>
      </c>
      <c r="N330" s="2" t="s">
        <v>35</v>
      </c>
      <c r="O330">
        <v>1</v>
      </c>
    </row>
    <row r="331" spans="1:15" x14ac:dyDescent="0.35">
      <c r="A331" s="2" t="s">
        <v>61</v>
      </c>
      <c r="B331" s="2" t="s">
        <v>49</v>
      </c>
      <c r="C331" s="2" t="s">
        <v>50</v>
      </c>
      <c r="D331" s="2" t="s">
        <v>231</v>
      </c>
      <c r="E331">
        <v>2021</v>
      </c>
      <c r="F331" s="2" t="s">
        <v>6</v>
      </c>
      <c r="G331">
        <v>1</v>
      </c>
      <c r="H331" s="2" t="s">
        <v>13</v>
      </c>
      <c r="I331">
        <v>1</v>
      </c>
      <c r="J331" s="2" t="s">
        <v>15</v>
      </c>
      <c r="K331">
        <v>1</v>
      </c>
      <c r="L331" s="2" t="s">
        <v>19</v>
      </c>
      <c r="M331">
        <v>1</v>
      </c>
      <c r="N331" s="2" t="s">
        <v>45</v>
      </c>
      <c r="O331">
        <v>1</v>
      </c>
    </row>
    <row r="332" spans="1:15" x14ac:dyDescent="0.35">
      <c r="A332" s="2" t="s">
        <v>61</v>
      </c>
      <c r="B332" s="2" t="s">
        <v>49</v>
      </c>
      <c r="C332" s="2" t="s">
        <v>50</v>
      </c>
      <c r="D332" s="2" t="s">
        <v>231</v>
      </c>
      <c r="E332">
        <v>2021</v>
      </c>
      <c r="F332" s="2" t="s">
        <v>6</v>
      </c>
      <c r="G332">
        <v>1</v>
      </c>
      <c r="H332" s="2" t="s">
        <v>13</v>
      </c>
      <c r="I332">
        <v>1</v>
      </c>
      <c r="J332" s="2" t="s">
        <v>15</v>
      </c>
      <c r="K332">
        <v>1</v>
      </c>
      <c r="L332" s="2" t="s">
        <v>22</v>
      </c>
      <c r="M332">
        <v>1</v>
      </c>
      <c r="N332" s="2" t="s">
        <v>35</v>
      </c>
      <c r="O332">
        <v>1</v>
      </c>
    </row>
    <row r="333" spans="1:15" x14ac:dyDescent="0.35">
      <c r="A333" s="2" t="s">
        <v>61</v>
      </c>
      <c r="B333" s="2" t="s">
        <v>49</v>
      </c>
      <c r="C333" s="2" t="s">
        <v>50</v>
      </c>
      <c r="D333" s="2" t="s">
        <v>231</v>
      </c>
      <c r="E333">
        <v>2021</v>
      </c>
      <c r="F333" s="2" t="s">
        <v>6</v>
      </c>
      <c r="G333">
        <v>1</v>
      </c>
      <c r="H333" s="2" t="s">
        <v>13</v>
      </c>
      <c r="I333">
        <v>1</v>
      </c>
      <c r="J333" s="2" t="s">
        <v>15</v>
      </c>
      <c r="K333">
        <v>1</v>
      </c>
      <c r="L333" s="2" t="s">
        <v>22</v>
      </c>
      <c r="M333">
        <v>1</v>
      </c>
      <c r="N333" s="2" t="s">
        <v>45</v>
      </c>
      <c r="O333">
        <v>1</v>
      </c>
    </row>
    <row r="334" spans="1:15" x14ac:dyDescent="0.35">
      <c r="A334" s="2" t="s">
        <v>61</v>
      </c>
      <c r="B334" s="2" t="s">
        <v>49</v>
      </c>
      <c r="C334" s="2" t="s">
        <v>50</v>
      </c>
      <c r="D334" s="2" t="s">
        <v>231</v>
      </c>
      <c r="E334">
        <v>2021</v>
      </c>
      <c r="F334" s="2" t="s">
        <v>6</v>
      </c>
      <c r="G334">
        <v>1</v>
      </c>
      <c r="H334" s="2" t="s">
        <v>13</v>
      </c>
      <c r="I334">
        <v>1</v>
      </c>
      <c r="J334" s="2" t="s">
        <v>16</v>
      </c>
      <c r="K334">
        <v>1</v>
      </c>
      <c r="L334" s="2" t="s">
        <v>19</v>
      </c>
      <c r="M334">
        <v>1</v>
      </c>
      <c r="N334" s="2" t="s">
        <v>35</v>
      </c>
      <c r="O334">
        <v>1</v>
      </c>
    </row>
    <row r="335" spans="1:15" x14ac:dyDescent="0.35">
      <c r="A335" s="2" t="s">
        <v>61</v>
      </c>
      <c r="B335" s="2" t="s">
        <v>49</v>
      </c>
      <c r="C335" s="2" t="s">
        <v>50</v>
      </c>
      <c r="D335" s="2" t="s">
        <v>231</v>
      </c>
      <c r="E335">
        <v>2021</v>
      </c>
      <c r="F335" s="2" t="s">
        <v>6</v>
      </c>
      <c r="G335">
        <v>1</v>
      </c>
      <c r="H335" s="2" t="s">
        <v>13</v>
      </c>
      <c r="I335">
        <v>1</v>
      </c>
      <c r="J335" s="2" t="s">
        <v>16</v>
      </c>
      <c r="K335">
        <v>1</v>
      </c>
      <c r="L335" s="2" t="s">
        <v>19</v>
      </c>
      <c r="M335">
        <v>1</v>
      </c>
      <c r="N335" s="2" t="s">
        <v>45</v>
      </c>
      <c r="O335">
        <v>1</v>
      </c>
    </row>
    <row r="336" spans="1:15" x14ac:dyDescent="0.35">
      <c r="A336" s="2" t="s">
        <v>61</v>
      </c>
      <c r="B336" s="2" t="s">
        <v>49</v>
      </c>
      <c r="C336" s="2" t="s">
        <v>50</v>
      </c>
      <c r="D336" s="2" t="s">
        <v>231</v>
      </c>
      <c r="E336">
        <v>2021</v>
      </c>
      <c r="F336" s="2" t="s">
        <v>6</v>
      </c>
      <c r="G336">
        <v>1</v>
      </c>
      <c r="H336" s="2" t="s">
        <v>13</v>
      </c>
      <c r="I336">
        <v>1</v>
      </c>
      <c r="J336" s="2" t="s">
        <v>16</v>
      </c>
      <c r="K336">
        <v>1</v>
      </c>
      <c r="L336" s="2" t="s">
        <v>22</v>
      </c>
      <c r="M336">
        <v>1</v>
      </c>
      <c r="N336" s="2" t="s">
        <v>35</v>
      </c>
      <c r="O336">
        <v>1</v>
      </c>
    </row>
    <row r="337" spans="1:15" x14ac:dyDescent="0.35">
      <c r="A337" s="2" t="s">
        <v>61</v>
      </c>
      <c r="B337" s="2" t="s">
        <v>49</v>
      </c>
      <c r="C337" s="2" t="s">
        <v>50</v>
      </c>
      <c r="D337" s="2" t="s">
        <v>231</v>
      </c>
      <c r="E337">
        <v>2021</v>
      </c>
      <c r="F337" s="2" t="s">
        <v>6</v>
      </c>
      <c r="G337">
        <v>1</v>
      </c>
      <c r="H337" s="2" t="s">
        <v>13</v>
      </c>
      <c r="I337">
        <v>1</v>
      </c>
      <c r="J337" s="2" t="s">
        <v>16</v>
      </c>
      <c r="K337">
        <v>1</v>
      </c>
      <c r="L337" s="2" t="s">
        <v>22</v>
      </c>
      <c r="M337">
        <v>1</v>
      </c>
      <c r="N337" s="2" t="s">
        <v>45</v>
      </c>
      <c r="O337">
        <v>1</v>
      </c>
    </row>
    <row r="338" spans="1:15" x14ac:dyDescent="0.35">
      <c r="A338" s="2" t="s">
        <v>61</v>
      </c>
      <c r="B338" s="2" t="s">
        <v>49</v>
      </c>
      <c r="C338" s="2" t="s">
        <v>50</v>
      </c>
      <c r="D338" s="2" t="s">
        <v>231</v>
      </c>
      <c r="E338">
        <v>2021</v>
      </c>
      <c r="F338" s="2" t="s">
        <v>6</v>
      </c>
      <c r="G338">
        <v>1</v>
      </c>
      <c r="H338" s="2" t="s">
        <v>13</v>
      </c>
      <c r="I338">
        <v>1</v>
      </c>
      <c r="J338" s="2" t="s">
        <v>17</v>
      </c>
      <c r="K338">
        <v>1</v>
      </c>
      <c r="L338" s="2" t="s">
        <v>19</v>
      </c>
      <c r="M338">
        <v>1</v>
      </c>
      <c r="N338" s="2" t="s">
        <v>35</v>
      </c>
      <c r="O338">
        <v>1</v>
      </c>
    </row>
    <row r="339" spans="1:15" x14ac:dyDescent="0.35">
      <c r="A339" s="2" t="s">
        <v>61</v>
      </c>
      <c r="B339" s="2" t="s">
        <v>49</v>
      </c>
      <c r="C339" s="2" t="s">
        <v>50</v>
      </c>
      <c r="D339" s="2" t="s">
        <v>231</v>
      </c>
      <c r="E339">
        <v>2021</v>
      </c>
      <c r="F339" s="2" t="s">
        <v>6</v>
      </c>
      <c r="G339">
        <v>1</v>
      </c>
      <c r="H339" s="2" t="s">
        <v>13</v>
      </c>
      <c r="I339">
        <v>1</v>
      </c>
      <c r="J339" s="2" t="s">
        <v>17</v>
      </c>
      <c r="K339">
        <v>1</v>
      </c>
      <c r="L339" s="2" t="s">
        <v>19</v>
      </c>
      <c r="M339">
        <v>1</v>
      </c>
      <c r="N339" s="2" t="s">
        <v>45</v>
      </c>
      <c r="O339">
        <v>1</v>
      </c>
    </row>
    <row r="340" spans="1:15" x14ac:dyDescent="0.35">
      <c r="A340" s="2" t="s">
        <v>61</v>
      </c>
      <c r="B340" s="2" t="s">
        <v>49</v>
      </c>
      <c r="C340" s="2" t="s">
        <v>50</v>
      </c>
      <c r="D340" s="2" t="s">
        <v>231</v>
      </c>
      <c r="E340">
        <v>2021</v>
      </c>
      <c r="F340" s="2" t="s">
        <v>6</v>
      </c>
      <c r="G340">
        <v>1</v>
      </c>
      <c r="H340" s="2" t="s">
        <v>13</v>
      </c>
      <c r="I340">
        <v>1</v>
      </c>
      <c r="J340" s="2" t="s">
        <v>17</v>
      </c>
      <c r="K340">
        <v>1</v>
      </c>
      <c r="L340" s="2" t="s">
        <v>22</v>
      </c>
      <c r="M340">
        <v>1</v>
      </c>
      <c r="N340" s="2" t="s">
        <v>35</v>
      </c>
      <c r="O340">
        <v>1</v>
      </c>
    </row>
    <row r="341" spans="1:15" x14ac:dyDescent="0.35">
      <c r="A341" s="2" t="s">
        <v>61</v>
      </c>
      <c r="B341" s="2" t="s">
        <v>49</v>
      </c>
      <c r="C341" s="2" t="s">
        <v>50</v>
      </c>
      <c r="D341" s="2" t="s">
        <v>231</v>
      </c>
      <c r="E341">
        <v>2021</v>
      </c>
      <c r="F341" s="2" t="s">
        <v>6</v>
      </c>
      <c r="G341">
        <v>1</v>
      </c>
      <c r="H341" s="2" t="s">
        <v>13</v>
      </c>
      <c r="I341">
        <v>1</v>
      </c>
      <c r="J341" s="2" t="s">
        <v>17</v>
      </c>
      <c r="K341">
        <v>1</v>
      </c>
      <c r="L341" s="2" t="s">
        <v>22</v>
      </c>
      <c r="M341">
        <v>1</v>
      </c>
      <c r="N341" s="2" t="s">
        <v>45</v>
      </c>
      <c r="O341">
        <v>1</v>
      </c>
    </row>
    <row r="342" spans="1:15" x14ac:dyDescent="0.35">
      <c r="A342" s="2" t="s">
        <v>63</v>
      </c>
      <c r="B342" s="2" t="s">
        <v>49</v>
      </c>
      <c r="C342" s="2" t="s">
        <v>50</v>
      </c>
      <c r="D342" s="2" t="s">
        <v>231</v>
      </c>
      <c r="E342">
        <v>2019</v>
      </c>
      <c r="F342" s="2" t="s">
        <v>6</v>
      </c>
      <c r="G342">
        <v>1</v>
      </c>
      <c r="H342" s="2" t="s">
        <v>13</v>
      </c>
      <c r="I342">
        <v>1</v>
      </c>
      <c r="J342" s="2" t="s">
        <v>15</v>
      </c>
      <c r="K342">
        <v>1</v>
      </c>
      <c r="L342" s="2" t="s">
        <v>19</v>
      </c>
      <c r="M342">
        <v>1</v>
      </c>
      <c r="N342" s="2" t="s">
        <v>35</v>
      </c>
      <c r="O342">
        <v>1</v>
      </c>
    </row>
    <row r="343" spans="1:15" x14ac:dyDescent="0.35">
      <c r="A343" s="2" t="s">
        <v>63</v>
      </c>
      <c r="B343" s="2" t="s">
        <v>49</v>
      </c>
      <c r="C343" s="2" t="s">
        <v>50</v>
      </c>
      <c r="D343" s="2" t="s">
        <v>231</v>
      </c>
      <c r="E343">
        <v>2019</v>
      </c>
      <c r="F343" s="2" t="s">
        <v>6</v>
      </c>
      <c r="G343">
        <v>1</v>
      </c>
      <c r="H343" s="2" t="s">
        <v>13</v>
      </c>
      <c r="I343">
        <v>1</v>
      </c>
      <c r="J343" s="2" t="s">
        <v>15</v>
      </c>
      <c r="K343">
        <v>1</v>
      </c>
      <c r="L343" s="2" t="s">
        <v>19</v>
      </c>
      <c r="M343">
        <v>1</v>
      </c>
      <c r="N343" s="2" t="s">
        <v>45</v>
      </c>
      <c r="O343">
        <v>1</v>
      </c>
    </row>
    <row r="344" spans="1:15" x14ac:dyDescent="0.35">
      <c r="A344" s="2" t="s">
        <v>63</v>
      </c>
      <c r="B344" s="2" t="s">
        <v>49</v>
      </c>
      <c r="C344" s="2" t="s">
        <v>50</v>
      </c>
      <c r="D344" s="2" t="s">
        <v>231</v>
      </c>
      <c r="E344">
        <v>2019</v>
      </c>
      <c r="F344" s="2" t="s">
        <v>6</v>
      </c>
      <c r="G344">
        <v>1</v>
      </c>
      <c r="H344" s="2" t="s">
        <v>13</v>
      </c>
      <c r="I344">
        <v>1</v>
      </c>
      <c r="J344" s="2" t="s">
        <v>16</v>
      </c>
      <c r="K344">
        <v>1</v>
      </c>
      <c r="L344" s="2" t="s">
        <v>19</v>
      </c>
      <c r="M344">
        <v>1</v>
      </c>
      <c r="N344" s="2" t="s">
        <v>35</v>
      </c>
      <c r="O344">
        <v>1</v>
      </c>
    </row>
    <row r="345" spans="1:15" x14ac:dyDescent="0.35">
      <c r="A345" s="2" t="s">
        <v>63</v>
      </c>
      <c r="B345" s="2" t="s">
        <v>49</v>
      </c>
      <c r="C345" s="2" t="s">
        <v>50</v>
      </c>
      <c r="D345" s="2" t="s">
        <v>231</v>
      </c>
      <c r="E345">
        <v>2019</v>
      </c>
      <c r="F345" s="2" t="s">
        <v>6</v>
      </c>
      <c r="G345">
        <v>1</v>
      </c>
      <c r="H345" s="2" t="s">
        <v>13</v>
      </c>
      <c r="I345">
        <v>1</v>
      </c>
      <c r="J345" s="2" t="s">
        <v>16</v>
      </c>
      <c r="K345">
        <v>1</v>
      </c>
      <c r="L345" s="2" t="s">
        <v>19</v>
      </c>
      <c r="M345">
        <v>1</v>
      </c>
      <c r="N345" s="2" t="s">
        <v>45</v>
      </c>
      <c r="O345">
        <v>1</v>
      </c>
    </row>
    <row r="346" spans="1:15" x14ac:dyDescent="0.35">
      <c r="A346" s="2" t="s">
        <v>70</v>
      </c>
      <c r="B346" s="2" t="s">
        <v>56</v>
      </c>
      <c r="C346" s="2" t="s">
        <v>50</v>
      </c>
      <c r="D346" s="2" t="s">
        <v>231</v>
      </c>
      <c r="E346">
        <v>2018</v>
      </c>
      <c r="F346" s="2" t="s">
        <v>6</v>
      </c>
      <c r="G346">
        <v>1</v>
      </c>
      <c r="H346" s="2" t="s">
        <v>13</v>
      </c>
      <c r="I346">
        <v>1</v>
      </c>
      <c r="J346" s="2" t="s">
        <v>16</v>
      </c>
      <c r="K346">
        <v>1</v>
      </c>
      <c r="L346" s="2" t="s">
        <v>24</v>
      </c>
      <c r="M346">
        <v>1</v>
      </c>
      <c r="N346" s="2" t="s">
        <v>37</v>
      </c>
      <c r="O346">
        <v>1</v>
      </c>
    </row>
    <row r="347" spans="1:15" x14ac:dyDescent="0.35">
      <c r="A347" s="2" t="s">
        <v>70</v>
      </c>
      <c r="B347" s="2" t="s">
        <v>56</v>
      </c>
      <c r="C347" s="2" t="s">
        <v>50</v>
      </c>
      <c r="D347" s="2" t="s">
        <v>231</v>
      </c>
      <c r="E347">
        <v>2018</v>
      </c>
      <c r="F347" s="2" t="s">
        <v>6</v>
      </c>
      <c r="G347">
        <v>1</v>
      </c>
      <c r="H347" s="2" t="s">
        <v>13</v>
      </c>
      <c r="I347">
        <v>1</v>
      </c>
      <c r="J347" s="2" t="s">
        <v>16</v>
      </c>
      <c r="K347">
        <v>1</v>
      </c>
      <c r="L347" s="2" t="s">
        <v>24</v>
      </c>
      <c r="M347">
        <v>1</v>
      </c>
      <c r="N347" s="2" t="s">
        <v>40</v>
      </c>
      <c r="O347">
        <v>1</v>
      </c>
    </row>
    <row r="348" spans="1:15" x14ac:dyDescent="0.35">
      <c r="A348" s="2" t="s">
        <v>70</v>
      </c>
      <c r="B348" s="2" t="s">
        <v>56</v>
      </c>
      <c r="C348" s="2" t="s">
        <v>50</v>
      </c>
      <c r="D348" s="2" t="s">
        <v>231</v>
      </c>
      <c r="E348">
        <v>2018</v>
      </c>
      <c r="F348" s="2" t="s">
        <v>6</v>
      </c>
      <c r="G348">
        <v>1</v>
      </c>
      <c r="H348" s="2" t="s">
        <v>13</v>
      </c>
      <c r="I348">
        <v>1</v>
      </c>
      <c r="J348" s="2" t="s">
        <v>16</v>
      </c>
      <c r="K348">
        <v>1</v>
      </c>
      <c r="L348" s="2" t="s">
        <v>24</v>
      </c>
      <c r="M348">
        <v>1</v>
      </c>
      <c r="N348" s="2" t="s">
        <v>41</v>
      </c>
      <c r="O348">
        <v>1</v>
      </c>
    </row>
    <row r="349" spans="1:15" x14ac:dyDescent="0.35">
      <c r="A349" s="2" t="s">
        <v>70</v>
      </c>
      <c r="B349" s="2" t="s">
        <v>56</v>
      </c>
      <c r="C349" s="2" t="s">
        <v>50</v>
      </c>
      <c r="D349" s="2" t="s">
        <v>231</v>
      </c>
      <c r="E349">
        <v>2018</v>
      </c>
      <c r="F349" s="2" t="s">
        <v>6</v>
      </c>
      <c r="G349">
        <v>1</v>
      </c>
      <c r="H349" s="2" t="s">
        <v>13</v>
      </c>
      <c r="I349">
        <v>1</v>
      </c>
      <c r="J349" s="2" t="s">
        <v>16</v>
      </c>
      <c r="K349">
        <v>1</v>
      </c>
      <c r="L349" s="2" t="s">
        <v>24</v>
      </c>
      <c r="M349">
        <v>1</v>
      </c>
      <c r="N349" s="2" t="s">
        <v>46</v>
      </c>
      <c r="O349">
        <v>1</v>
      </c>
    </row>
    <row r="350" spans="1:15" x14ac:dyDescent="0.35">
      <c r="A350" s="2" t="s">
        <v>71</v>
      </c>
      <c r="B350" s="2" t="s">
        <v>49</v>
      </c>
      <c r="C350" s="2" t="s">
        <v>50</v>
      </c>
      <c r="D350" s="2" t="s">
        <v>231</v>
      </c>
      <c r="E350">
        <v>2019</v>
      </c>
      <c r="F350" s="2" t="s">
        <v>6</v>
      </c>
      <c r="G350">
        <v>1</v>
      </c>
      <c r="H350" s="2" t="s">
        <v>13</v>
      </c>
      <c r="I350">
        <v>1</v>
      </c>
      <c r="J350" s="2" t="s">
        <v>14</v>
      </c>
      <c r="K350">
        <v>1</v>
      </c>
      <c r="L350" s="2" t="s">
        <v>24</v>
      </c>
      <c r="M350">
        <v>1</v>
      </c>
      <c r="N350" s="2" t="s">
        <v>37</v>
      </c>
      <c r="O350">
        <v>1</v>
      </c>
    </row>
    <row r="351" spans="1:15" x14ac:dyDescent="0.35">
      <c r="A351" s="2" t="s">
        <v>71</v>
      </c>
      <c r="B351" s="2" t="s">
        <v>49</v>
      </c>
      <c r="C351" s="2" t="s">
        <v>50</v>
      </c>
      <c r="D351" s="2" t="s">
        <v>231</v>
      </c>
      <c r="E351">
        <v>2019</v>
      </c>
      <c r="F351" s="2" t="s">
        <v>6</v>
      </c>
      <c r="G351">
        <v>1</v>
      </c>
      <c r="H351" s="2" t="s">
        <v>13</v>
      </c>
      <c r="I351">
        <v>1</v>
      </c>
      <c r="J351" s="2" t="s">
        <v>14</v>
      </c>
      <c r="K351">
        <v>1</v>
      </c>
      <c r="L351" s="2" t="s">
        <v>24</v>
      </c>
      <c r="M351">
        <v>1</v>
      </c>
      <c r="N351" s="2" t="s">
        <v>38</v>
      </c>
      <c r="O351">
        <v>1</v>
      </c>
    </row>
    <row r="352" spans="1:15" x14ac:dyDescent="0.35">
      <c r="A352" s="2" t="s">
        <v>71</v>
      </c>
      <c r="B352" s="2" t="s">
        <v>49</v>
      </c>
      <c r="C352" s="2" t="s">
        <v>50</v>
      </c>
      <c r="D352" s="2" t="s">
        <v>231</v>
      </c>
      <c r="E352">
        <v>2019</v>
      </c>
      <c r="F352" s="2" t="s">
        <v>6</v>
      </c>
      <c r="G352">
        <v>1</v>
      </c>
      <c r="H352" s="2" t="s">
        <v>13</v>
      </c>
      <c r="I352">
        <v>1</v>
      </c>
      <c r="J352" s="2" t="s">
        <v>14</v>
      </c>
      <c r="K352">
        <v>1</v>
      </c>
      <c r="L352" s="2" t="s">
        <v>24</v>
      </c>
      <c r="M352">
        <v>1</v>
      </c>
      <c r="N352" s="2" t="s">
        <v>39</v>
      </c>
      <c r="O352">
        <v>1</v>
      </c>
    </row>
    <row r="353" spans="1:15" x14ac:dyDescent="0.35">
      <c r="A353" s="2" t="s">
        <v>73</v>
      </c>
      <c r="B353" s="2" t="s">
        <v>56</v>
      </c>
      <c r="C353" s="2" t="s">
        <v>50</v>
      </c>
      <c r="D353" s="2" t="s">
        <v>231</v>
      </c>
      <c r="E353">
        <v>2019</v>
      </c>
      <c r="F353" s="2" t="s">
        <v>6</v>
      </c>
      <c r="G353">
        <v>1</v>
      </c>
      <c r="H353" s="2" t="s">
        <v>13</v>
      </c>
      <c r="I353">
        <v>1</v>
      </c>
      <c r="J353" s="2" t="s">
        <v>16</v>
      </c>
      <c r="K353">
        <v>1</v>
      </c>
      <c r="L353" s="2" t="s">
        <v>23</v>
      </c>
      <c r="M353">
        <v>1</v>
      </c>
      <c r="N353" s="2" t="s">
        <v>37</v>
      </c>
      <c r="O353">
        <v>1</v>
      </c>
    </row>
    <row r="354" spans="1:15" x14ac:dyDescent="0.35">
      <c r="A354" s="2" t="s">
        <v>73</v>
      </c>
      <c r="B354" s="2" t="s">
        <v>56</v>
      </c>
      <c r="C354" s="2" t="s">
        <v>50</v>
      </c>
      <c r="D354" s="2" t="s">
        <v>231</v>
      </c>
      <c r="E354">
        <v>2019</v>
      </c>
      <c r="F354" s="2" t="s">
        <v>6</v>
      </c>
      <c r="G354">
        <v>1</v>
      </c>
      <c r="H354" s="2" t="s">
        <v>13</v>
      </c>
      <c r="I354">
        <v>1</v>
      </c>
      <c r="J354" s="2" t="s">
        <v>16</v>
      </c>
      <c r="K354">
        <v>1</v>
      </c>
      <c r="L354" s="2" t="s">
        <v>23</v>
      </c>
      <c r="M354">
        <v>1</v>
      </c>
      <c r="N354" s="2" t="s">
        <v>38</v>
      </c>
      <c r="O354">
        <v>1</v>
      </c>
    </row>
    <row r="355" spans="1:15" x14ac:dyDescent="0.35">
      <c r="A355" s="2" t="s">
        <v>73</v>
      </c>
      <c r="B355" s="2" t="s">
        <v>56</v>
      </c>
      <c r="C355" s="2" t="s">
        <v>50</v>
      </c>
      <c r="D355" s="2" t="s">
        <v>231</v>
      </c>
      <c r="E355">
        <v>2019</v>
      </c>
      <c r="F355" s="2" t="s">
        <v>6</v>
      </c>
      <c r="G355">
        <v>1</v>
      </c>
      <c r="H355" s="2" t="s">
        <v>13</v>
      </c>
      <c r="I355">
        <v>1</v>
      </c>
      <c r="J355" s="2" t="s">
        <v>16</v>
      </c>
      <c r="K355">
        <v>1</v>
      </c>
      <c r="L355" s="2" t="s">
        <v>23</v>
      </c>
      <c r="M355">
        <v>1</v>
      </c>
      <c r="N355" s="2" t="s">
        <v>40</v>
      </c>
      <c r="O355">
        <v>1</v>
      </c>
    </row>
    <row r="356" spans="1:15" x14ac:dyDescent="0.35">
      <c r="A356" s="2" t="s">
        <v>73</v>
      </c>
      <c r="B356" s="2" t="s">
        <v>56</v>
      </c>
      <c r="C356" s="2" t="s">
        <v>50</v>
      </c>
      <c r="D356" s="2" t="s">
        <v>231</v>
      </c>
      <c r="E356">
        <v>2019</v>
      </c>
      <c r="F356" s="2" t="s">
        <v>6</v>
      </c>
      <c r="G356">
        <v>1</v>
      </c>
      <c r="H356" s="2" t="s">
        <v>13</v>
      </c>
      <c r="I356">
        <v>1</v>
      </c>
      <c r="J356" s="2" t="s">
        <v>16</v>
      </c>
      <c r="K356">
        <v>1</v>
      </c>
      <c r="L356" s="2" t="s">
        <v>23</v>
      </c>
      <c r="M356">
        <v>1</v>
      </c>
      <c r="N356" s="2" t="s">
        <v>44</v>
      </c>
      <c r="O356">
        <v>1</v>
      </c>
    </row>
    <row r="357" spans="1:15" x14ac:dyDescent="0.35">
      <c r="A357" s="2" t="s">
        <v>74</v>
      </c>
      <c r="B357" s="2" t="s">
        <v>56</v>
      </c>
      <c r="C357" s="2" t="s">
        <v>50</v>
      </c>
      <c r="D357" s="2" t="s">
        <v>231</v>
      </c>
      <c r="E357">
        <v>2015</v>
      </c>
      <c r="F357" s="2" t="s">
        <v>6</v>
      </c>
      <c r="G357">
        <v>1</v>
      </c>
      <c r="H357" s="2" t="s">
        <v>13</v>
      </c>
      <c r="I357">
        <v>1</v>
      </c>
      <c r="J357" s="2" t="s">
        <v>16</v>
      </c>
      <c r="K357">
        <v>1</v>
      </c>
      <c r="L357" s="2" t="s">
        <v>22</v>
      </c>
      <c r="M357">
        <v>1</v>
      </c>
      <c r="N357" s="2" t="s">
        <v>37</v>
      </c>
      <c r="O357">
        <v>1</v>
      </c>
    </row>
    <row r="358" spans="1:15" x14ac:dyDescent="0.35">
      <c r="A358" s="2" t="s">
        <v>74</v>
      </c>
      <c r="B358" s="2" t="s">
        <v>56</v>
      </c>
      <c r="C358" s="2" t="s">
        <v>50</v>
      </c>
      <c r="D358" s="2" t="s">
        <v>231</v>
      </c>
      <c r="E358">
        <v>2015</v>
      </c>
      <c r="F358" s="2" t="s">
        <v>6</v>
      </c>
      <c r="G358">
        <v>1</v>
      </c>
      <c r="H358" s="2" t="s">
        <v>13</v>
      </c>
      <c r="I358">
        <v>1</v>
      </c>
      <c r="J358" s="2" t="s">
        <v>16</v>
      </c>
      <c r="K358">
        <v>1</v>
      </c>
      <c r="L358" s="2" t="s">
        <v>22</v>
      </c>
      <c r="M358">
        <v>1</v>
      </c>
      <c r="N358" s="2" t="s">
        <v>38</v>
      </c>
      <c r="O358">
        <v>1</v>
      </c>
    </row>
    <row r="359" spans="1:15" x14ac:dyDescent="0.35">
      <c r="A359" s="2" t="s">
        <v>74</v>
      </c>
      <c r="B359" s="2" t="s">
        <v>56</v>
      </c>
      <c r="C359" s="2" t="s">
        <v>50</v>
      </c>
      <c r="D359" s="2" t="s">
        <v>231</v>
      </c>
      <c r="E359">
        <v>2015</v>
      </c>
      <c r="F359" s="2" t="s">
        <v>6</v>
      </c>
      <c r="G359">
        <v>1</v>
      </c>
      <c r="H359" s="2" t="s">
        <v>13</v>
      </c>
      <c r="I359">
        <v>1</v>
      </c>
      <c r="J359" s="2" t="s">
        <v>16</v>
      </c>
      <c r="K359">
        <v>1</v>
      </c>
      <c r="L359" s="2" t="s">
        <v>22</v>
      </c>
      <c r="M359">
        <v>1</v>
      </c>
      <c r="N359" s="2" t="s">
        <v>40</v>
      </c>
      <c r="O359">
        <v>1</v>
      </c>
    </row>
    <row r="360" spans="1:15" x14ac:dyDescent="0.35">
      <c r="A360" s="2" t="s">
        <v>74</v>
      </c>
      <c r="B360" s="2" t="s">
        <v>56</v>
      </c>
      <c r="C360" s="2" t="s">
        <v>50</v>
      </c>
      <c r="D360" s="2" t="s">
        <v>231</v>
      </c>
      <c r="E360">
        <v>2015</v>
      </c>
      <c r="F360" s="2" t="s">
        <v>6</v>
      </c>
      <c r="G360">
        <v>1</v>
      </c>
      <c r="H360" s="2" t="s">
        <v>13</v>
      </c>
      <c r="I360">
        <v>1</v>
      </c>
      <c r="J360" s="2" t="s">
        <v>16</v>
      </c>
      <c r="K360">
        <v>1</v>
      </c>
      <c r="L360" s="2" t="s">
        <v>22</v>
      </c>
      <c r="M360">
        <v>1</v>
      </c>
      <c r="N360" s="2" t="s">
        <v>44</v>
      </c>
      <c r="O360">
        <v>1</v>
      </c>
    </row>
    <row r="361" spans="1:15" x14ac:dyDescent="0.35">
      <c r="A361" s="2" t="s">
        <v>74</v>
      </c>
      <c r="B361" s="2" t="s">
        <v>56</v>
      </c>
      <c r="C361" s="2" t="s">
        <v>50</v>
      </c>
      <c r="D361" s="2" t="s">
        <v>231</v>
      </c>
      <c r="E361">
        <v>2015</v>
      </c>
      <c r="F361" s="2" t="s">
        <v>6</v>
      </c>
      <c r="G361">
        <v>1</v>
      </c>
      <c r="H361" s="2" t="s">
        <v>13</v>
      </c>
      <c r="I361">
        <v>1</v>
      </c>
      <c r="J361" s="2" t="s">
        <v>16</v>
      </c>
      <c r="K361">
        <v>1</v>
      </c>
      <c r="L361" s="2" t="s">
        <v>24</v>
      </c>
      <c r="M361">
        <v>1</v>
      </c>
      <c r="N361" s="2" t="s">
        <v>37</v>
      </c>
      <c r="O361">
        <v>1</v>
      </c>
    </row>
    <row r="362" spans="1:15" x14ac:dyDescent="0.35">
      <c r="A362" s="2" t="s">
        <v>74</v>
      </c>
      <c r="B362" s="2" t="s">
        <v>56</v>
      </c>
      <c r="C362" s="2" t="s">
        <v>50</v>
      </c>
      <c r="D362" s="2" t="s">
        <v>231</v>
      </c>
      <c r="E362">
        <v>2015</v>
      </c>
      <c r="F362" s="2" t="s">
        <v>6</v>
      </c>
      <c r="G362">
        <v>1</v>
      </c>
      <c r="H362" s="2" t="s">
        <v>13</v>
      </c>
      <c r="I362">
        <v>1</v>
      </c>
      <c r="J362" s="2" t="s">
        <v>16</v>
      </c>
      <c r="K362">
        <v>1</v>
      </c>
      <c r="L362" s="2" t="s">
        <v>24</v>
      </c>
      <c r="M362">
        <v>1</v>
      </c>
      <c r="N362" s="2" t="s">
        <v>38</v>
      </c>
      <c r="O362">
        <v>1</v>
      </c>
    </row>
    <row r="363" spans="1:15" x14ac:dyDescent="0.35">
      <c r="A363" s="2" t="s">
        <v>74</v>
      </c>
      <c r="B363" s="2" t="s">
        <v>56</v>
      </c>
      <c r="C363" s="2" t="s">
        <v>50</v>
      </c>
      <c r="D363" s="2" t="s">
        <v>231</v>
      </c>
      <c r="E363">
        <v>2015</v>
      </c>
      <c r="F363" s="2" t="s">
        <v>6</v>
      </c>
      <c r="G363">
        <v>1</v>
      </c>
      <c r="H363" s="2" t="s">
        <v>13</v>
      </c>
      <c r="I363">
        <v>1</v>
      </c>
      <c r="J363" s="2" t="s">
        <v>16</v>
      </c>
      <c r="K363">
        <v>1</v>
      </c>
      <c r="L363" s="2" t="s">
        <v>24</v>
      </c>
      <c r="M363">
        <v>1</v>
      </c>
      <c r="N363" s="2" t="s">
        <v>40</v>
      </c>
      <c r="O363">
        <v>1</v>
      </c>
    </row>
    <row r="364" spans="1:15" x14ac:dyDescent="0.35">
      <c r="A364" s="2" t="s">
        <v>74</v>
      </c>
      <c r="B364" s="2" t="s">
        <v>56</v>
      </c>
      <c r="C364" s="2" t="s">
        <v>50</v>
      </c>
      <c r="D364" s="2" t="s">
        <v>231</v>
      </c>
      <c r="E364">
        <v>2015</v>
      </c>
      <c r="F364" s="2" t="s">
        <v>6</v>
      </c>
      <c r="G364">
        <v>1</v>
      </c>
      <c r="H364" s="2" t="s">
        <v>13</v>
      </c>
      <c r="I364">
        <v>1</v>
      </c>
      <c r="J364" s="2" t="s">
        <v>16</v>
      </c>
      <c r="K364">
        <v>1</v>
      </c>
      <c r="L364" s="2" t="s">
        <v>24</v>
      </c>
      <c r="M364">
        <v>1</v>
      </c>
      <c r="N364" s="2" t="s">
        <v>44</v>
      </c>
      <c r="O364">
        <v>1</v>
      </c>
    </row>
    <row r="365" spans="1:15" x14ac:dyDescent="0.35">
      <c r="A365" s="2" t="s">
        <v>74</v>
      </c>
      <c r="B365" s="2" t="s">
        <v>56</v>
      </c>
      <c r="C365" s="2" t="s">
        <v>50</v>
      </c>
      <c r="D365" s="2" t="s">
        <v>231</v>
      </c>
      <c r="E365">
        <v>2015</v>
      </c>
      <c r="F365" s="2" t="s">
        <v>6</v>
      </c>
      <c r="G365">
        <v>1</v>
      </c>
      <c r="H365" s="2" t="s">
        <v>13</v>
      </c>
      <c r="I365">
        <v>1</v>
      </c>
      <c r="J365" s="2" t="s">
        <v>17</v>
      </c>
      <c r="K365">
        <v>1</v>
      </c>
      <c r="L365" s="2" t="s">
        <v>22</v>
      </c>
      <c r="M365">
        <v>1</v>
      </c>
      <c r="N365" s="2" t="s">
        <v>37</v>
      </c>
      <c r="O365">
        <v>1</v>
      </c>
    </row>
    <row r="366" spans="1:15" x14ac:dyDescent="0.35">
      <c r="A366" s="2" t="s">
        <v>74</v>
      </c>
      <c r="B366" s="2" t="s">
        <v>56</v>
      </c>
      <c r="C366" s="2" t="s">
        <v>50</v>
      </c>
      <c r="D366" s="2" t="s">
        <v>231</v>
      </c>
      <c r="E366">
        <v>2015</v>
      </c>
      <c r="F366" s="2" t="s">
        <v>6</v>
      </c>
      <c r="G366">
        <v>1</v>
      </c>
      <c r="H366" s="2" t="s">
        <v>13</v>
      </c>
      <c r="I366">
        <v>1</v>
      </c>
      <c r="J366" s="2" t="s">
        <v>17</v>
      </c>
      <c r="K366">
        <v>1</v>
      </c>
      <c r="L366" s="2" t="s">
        <v>22</v>
      </c>
      <c r="M366">
        <v>1</v>
      </c>
      <c r="N366" s="2" t="s">
        <v>38</v>
      </c>
      <c r="O366">
        <v>1</v>
      </c>
    </row>
    <row r="367" spans="1:15" x14ac:dyDescent="0.35">
      <c r="A367" s="2" t="s">
        <v>74</v>
      </c>
      <c r="B367" s="2" t="s">
        <v>56</v>
      </c>
      <c r="C367" s="2" t="s">
        <v>50</v>
      </c>
      <c r="D367" s="2" t="s">
        <v>231</v>
      </c>
      <c r="E367">
        <v>2015</v>
      </c>
      <c r="F367" s="2" t="s">
        <v>6</v>
      </c>
      <c r="G367">
        <v>1</v>
      </c>
      <c r="H367" s="2" t="s">
        <v>13</v>
      </c>
      <c r="I367">
        <v>1</v>
      </c>
      <c r="J367" s="2" t="s">
        <v>17</v>
      </c>
      <c r="K367">
        <v>1</v>
      </c>
      <c r="L367" s="2" t="s">
        <v>22</v>
      </c>
      <c r="M367">
        <v>1</v>
      </c>
      <c r="N367" s="2" t="s">
        <v>40</v>
      </c>
      <c r="O367">
        <v>1</v>
      </c>
    </row>
    <row r="368" spans="1:15" x14ac:dyDescent="0.35">
      <c r="A368" s="2" t="s">
        <v>74</v>
      </c>
      <c r="B368" s="2" t="s">
        <v>56</v>
      </c>
      <c r="C368" s="2" t="s">
        <v>50</v>
      </c>
      <c r="D368" s="2" t="s">
        <v>231</v>
      </c>
      <c r="E368">
        <v>2015</v>
      </c>
      <c r="F368" s="2" t="s">
        <v>6</v>
      </c>
      <c r="G368">
        <v>1</v>
      </c>
      <c r="H368" s="2" t="s">
        <v>13</v>
      </c>
      <c r="I368">
        <v>1</v>
      </c>
      <c r="J368" s="2" t="s">
        <v>17</v>
      </c>
      <c r="K368">
        <v>1</v>
      </c>
      <c r="L368" s="2" t="s">
        <v>22</v>
      </c>
      <c r="M368">
        <v>1</v>
      </c>
      <c r="N368" s="2" t="s">
        <v>44</v>
      </c>
      <c r="O368">
        <v>1</v>
      </c>
    </row>
    <row r="369" spans="1:15" x14ac:dyDescent="0.35">
      <c r="A369" s="2" t="s">
        <v>74</v>
      </c>
      <c r="B369" s="2" t="s">
        <v>56</v>
      </c>
      <c r="C369" s="2" t="s">
        <v>50</v>
      </c>
      <c r="D369" s="2" t="s">
        <v>231</v>
      </c>
      <c r="E369">
        <v>2015</v>
      </c>
      <c r="F369" s="2" t="s">
        <v>6</v>
      </c>
      <c r="G369">
        <v>1</v>
      </c>
      <c r="H369" s="2" t="s">
        <v>13</v>
      </c>
      <c r="I369">
        <v>1</v>
      </c>
      <c r="J369" s="2" t="s">
        <v>17</v>
      </c>
      <c r="K369">
        <v>1</v>
      </c>
      <c r="L369" s="2" t="s">
        <v>24</v>
      </c>
      <c r="M369">
        <v>1</v>
      </c>
      <c r="N369" s="2" t="s">
        <v>37</v>
      </c>
      <c r="O369">
        <v>1</v>
      </c>
    </row>
    <row r="370" spans="1:15" x14ac:dyDescent="0.35">
      <c r="A370" s="2" t="s">
        <v>74</v>
      </c>
      <c r="B370" s="2" t="s">
        <v>56</v>
      </c>
      <c r="C370" s="2" t="s">
        <v>50</v>
      </c>
      <c r="D370" s="2" t="s">
        <v>231</v>
      </c>
      <c r="E370">
        <v>2015</v>
      </c>
      <c r="F370" s="2" t="s">
        <v>6</v>
      </c>
      <c r="G370">
        <v>1</v>
      </c>
      <c r="H370" s="2" t="s">
        <v>13</v>
      </c>
      <c r="I370">
        <v>1</v>
      </c>
      <c r="J370" s="2" t="s">
        <v>17</v>
      </c>
      <c r="K370">
        <v>1</v>
      </c>
      <c r="L370" s="2" t="s">
        <v>24</v>
      </c>
      <c r="M370">
        <v>1</v>
      </c>
      <c r="N370" s="2" t="s">
        <v>38</v>
      </c>
      <c r="O370">
        <v>1</v>
      </c>
    </row>
    <row r="371" spans="1:15" x14ac:dyDescent="0.35">
      <c r="A371" s="2" t="s">
        <v>74</v>
      </c>
      <c r="B371" s="2" t="s">
        <v>56</v>
      </c>
      <c r="C371" s="2" t="s">
        <v>50</v>
      </c>
      <c r="D371" s="2" t="s">
        <v>231</v>
      </c>
      <c r="E371">
        <v>2015</v>
      </c>
      <c r="F371" s="2" t="s">
        <v>6</v>
      </c>
      <c r="G371">
        <v>1</v>
      </c>
      <c r="H371" s="2" t="s">
        <v>13</v>
      </c>
      <c r="I371">
        <v>1</v>
      </c>
      <c r="J371" s="2" t="s">
        <v>17</v>
      </c>
      <c r="K371">
        <v>1</v>
      </c>
      <c r="L371" s="2" t="s">
        <v>24</v>
      </c>
      <c r="M371">
        <v>1</v>
      </c>
      <c r="N371" s="2" t="s">
        <v>40</v>
      </c>
      <c r="O371">
        <v>1</v>
      </c>
    </row>
    <row r="372" spans="1:15" x14ac:dyDescent="0.35">
      <c r="A372" s="2" t="s">
        <v>74</v>
      </c>
      <c r="B372" s="2" t="s">
        <v>56</v>
      </c>
      <c r="C372" s="2" t="s">
        <v>50</v>
      </c>
      <c r="D372" s="2" t="s">
        <v>231</v>
      </c>
      <c r="E372">
        <v>2015</v>
      </c>
      <c r="F372" s="2" t="s">
        <v>6</v>
      </c>
      <c r="G372">
        <v>1</v>
      </c>
      <c r="H372" s="2" t="s">
        <v>13</v>
      </c>
      <c r="I372">
        <v>1</v>
      </c>
      <c r="J372" s="2" t="s">
        <v>17</v>
      </c>
      <c r="K372">
        <v>1</v>
      </c>
      <c r="L372" s="2" t="s">
        <v>24</v>
      </c>
      <c r="M372">
        <v>1</v>
      </c>
      <c r="N372" s="2" t="s">
        <v>44</v>
      </c>
      <c r="O372">
        <v>1</v>
      </c>
    </row>
    <row r="373" spans="1:15" x14ac:dyDescent="0.35">
      <c r="A373" s="2" t="s">
        <v>79</v>
      </c>
      <c r="B373" s="2" t="s">
        <v>49</v>
      </c>
      <c r="C373" s="2" t="s">
        <v>50</v>
      </c>
      <c r="D373" s="2" t="s">
        <v>231</v>
      </c>
      <c r="E373">
        <v>2018</v>
      </c>
      <c r="F373" s="2" t="s">
        <v>6</v>
      </c>
      <c r="G373">
        <v>1</v>
      </c>
      <c r="H373" s="2" t="s">
        <v>13</v>
      </c>
      <c r="I373">
        <v>1</v>
      </c>
      <c r="J373" s="2" t="s">
        <v>17</v>
      </c>
      <c r="K373">
        <v>1</v>
      </c>
      <c r="L373" s="2" t="s">
        <v>19</v>
      </c>
      <c r="M373">
        <v>1</v>
      </c>
      <c r="N373" s="2" t="s">
        <v>35</v>
      </c>
      <c r="O373">
        <v>1</v>
      </c>
    </row>
    <row r="374" spans="1:15" x14ac:dyDescent="0.35">
      <c r="A374" s="2" t="s">
        <v>79</v>
      </c>
      <c r="B374" s="2" t="s">
        <v>49</v>
      </c>
      <c r="C374" s="2" t="s">
        <v>50</v>
      </c>
      <c r="D374" s="2" t="s">
        <v>231</v>
      </c>
      <c r="E374">
        <v>2018</v>
      </c>
      <c r="F374" s="2" t="s">
        <v>6</v>
      </c>
      <c r="G374">
        <v>1</v>
      </c>
      <c r="H374" s="2" t="s">
        <v>13</v>
      </c>
      <c r="I374">
        <v>1</v>
      </c>
      <c r="J374" s="2" t="s">
        <v>17</v>
      </c>
      <c r="K374">
        <v>1</v>
      </c>
      <c r="L374" s="2" t="s">
        <v>19</v>
      </c>
      <c r="M374">
        <v>1</v>
      </c>
      <c r="N374" s="2" t="s">
        <v>45</v>
      </c>
      <c r="O374">
        <v>1</v>
      </c>
    </row>
    <row r="375" spans="1:15" x14ac:dyDescent="0.35">
      <c r="A375" s="2" t="s">
        <v>86</v>
      </c>
      <c r="B375" s="2" t="s">
        <v>49</v>
      </c>
      <c r="C375" s="2" t="s">
        <v>50</v>
      </c>
      <c r="D375" s="2" t="s">
        <v>231</v>
      </c>
      <c r="E375">
        <v>2020</v>
      </c>
      <c r="F375" s="2" t="s">
        <v>6</v>
      </c>
      <c r="G375">
        <v>1</v>
      </c>
      <c r="H375" s="2" t="s">
        <v>13</v>
      </c>
      <c r="I375">
        <v>1</v>
      </c>
      <c r="J375" s="2" t="s">
        <v>17</v>
      </c>
      <c r="K375">
        <v>1</v>
      </c>
      <c r="L375" s="2" t="s">
        <v>22</v>
      </c>
      <c r="M375">
        <v>1</v>
      </c>
      <c r="N375" s="2" t="s">
        <v>44</v>
      </c>
      <c r="O375">
        <v>1</v>
      </c>
    </row>
    <row r="376" spans="1:15" x14ac:dyDescent="0.35">
      <c r="A376" s="2" t="s">
        <v>86</v>
      </c>
      <c r="B376" s="2" t="s">
        <v>49</v>
      </c>
      <c r="C376" s="2" t="s">
        <v>50</v>
      </c>
      <c r="D376" s="2" t="s">
        <v>231</v>
      </c>
      <c r="E376">
        <v>2020</v>
      </c>
      <c r="F376" s="2" t="s">
        <v>6</v>
      </c>
      <c r="G376">
        <v>1</v>
      </c>
      <c r="H376" s="2" t="s">
        <v>13</v>
      </c>
      <c r="I376">
        <v>1</v>
      </c>
      <c r="J376" s="2" t="s">
        <v>17</v>
      </c>
      <c r="K376">
        <v>1</v>
      </c>
      <c r="L376" s="2" t="s">
        <v>23</v>
      </c>
      <c r="M376">
        <v>1</v>
      </c>
      <c r="N376" s="2" t="s">
        <v>44</v>
      </c>
      <c r="O376">
        <v>1</v>
      </c>
    </row>
    <row r="377" spans="1:15" x14ac:dyDescent="0.35">
      <c r="A377" s="2" t="s">
        <v>92</v>
      </c>
      <c r="B377" s="2" t="s">
        <v>49</v>
      </c>
      <c r="C377" s="2" t="s">
        <v>50</v>
      </c>
      <c r="D377" s="2" t="s">
        <v>231</v>
      </c>
      <c r="E377">
        <v>2019</v>
      </c>
      <c r="F377" s="2" t="s">
        <v>6</v>
      </c>
      <c r="G377">
        <v>1</v>
      </c>
      <c r="H377" s="2" t="s">
        <v>13</v>
      </c>
      <c r="I377">
        <v>1</v>
      </c>
      <c r="J377" s="2" t="s">
        <v>15</v>
      </c>
      <c r="K377">
        <v>1</v>
      </c>
      <c r="L377" s="2" t="s">
        <v>19</v>
      </c>
      <c r="M377">
        <v>1</v>
      </c>
      <c r="N377" s="2" t="s">
        <v>32</v>
      </c>
      <c r="O377">
        <v>1</v>
      </c>
    </row>
    <row r="378" spans="1:15" x14ac:dyDescent="0.35">
      <c r="A378" s="2" t="s">
        <v>92</v>
      </c>
      <c r="B378" s="2" t="s">
        <v>49</v>
      </c>
      <c r="C378" s="2" t="s">
        <v>50</v>
      </c>
      <c r="D378" s="2" t="s">
        <v>231</v>
      </c>
      <c r="E378">
        <v>2019</v>
      </c>
      <c r="F378" s="2" t="s">
        <v>6</v>
      </c>
      <c r="G378">
        <v>1</v>
      </c>
      <c r="H378" s="2" t="s">
        <v>13</v>
      </c>
      <c r="I378">
        <v>1</v>
      </c>
      <c r="J378" s="2" t="s">
        <v>15</v>
      </c>
      <c r="K378">
        <v>1</v>
      </c>
      <c r="L378" s="2" t="s">
        <v>19</v>
      </c>
      <c r="M378">
        <v>1</v>
      </c>
      <c r="N378" s="2" t="s">
        <v>37</v>
      </c>
      <c r="O378">
        <v>1</v>
      </c>
    </row>
    <row r="379" spans="1:15" x14ac:dyDescent="0.35">
      <c r="A379" s="2" t="s">
        <v>92</v>
      </c>
      <c r="B379" s="2" t="s">
        <v>49</v>
      </c>
      <c r="C379" s="2" t="s">
        <v>50</v>
      </c>
      <c r="D379" s="2" t="s">
        <v>231</v>
      </c>
      <c r="E379">
        <v>2019</v>
      </c>
      <c r="F379" s="2" t="s">
        <v>6</v>
      </c>
      <c r="G379">
        <v>1</v>
      </c>
      <c r="H379" s="2" t="s">
        <v>13</v>
      </c>
      <c r="I379">
        <v>1</v>
      </c>
      <c r="J379" s="2" t="s">
        <v>15</v>
      </c>
      <c r="K379">
        <v>1</v>
      </c>
      <c r="L379" s="2" t="s">
        <v>19</v>
      </c>
      <c r="M379">
        <v>1</v>
      </c>
      <c r="N379" s="2" t="s">
        <v>38</v>
      </c>
      <c r="O379">
        <v>1</v>
      </c>
    </row>
    <row r="380" spans="1:15" x14ac:dyDescent="0.35">
      <c r="A380" s="2" t="s">
        <v>92</v>
      </c>
      <c r="B380" s="2" t="s">
        <v>49</v>
      </c>
      <c r="C380" s="2" t="s">
        <v>50</v>
      </c>
      <c r="D380" s="2" t="s">
        <v>231</v>
      </c>
      <c r="E380">
        <v>2019</v>
      </c>
      <c r="F380" s="2" t="s">
        <v>6</v>
      </c>
      <c r="G380">
        <v>1</v>
      </c>
      <c r="H380" s="2" t="s">
        <v>13</v>
      </c>
      <c r="I380">
        <v>1</v>
      </c>
      <c r="J380" s="2" t="s">
        <v>15</v>
      </c>
      <c r="K380">
        <v>1</v>
      </c>
      <c r="L380" s="2" t="s">
        <v>19</v>
      </c>
      <c r="M380">
        <v>1</v>
      </c>
      <c r="N380" s="2" t="s">
        <v>40</v>
      </c>
      <c r="O380">
        <v>1</v>
      </c>
    </row>
    <row r="381" spans="1:15" x14ac:dyDescent="0.35">
      <c r="A381" s="2" t="s">
        <v>92</v>
      </c>
      <c r="B381" s="2" t="s">
        <v>49</v>
      </c>
      <c r="C381" s="2" t="s">
        <v>50</v>
      </c>
      <c r="D381" s="2" t="s">
        <v>231</v>
      </c>
      <c r="E381">
        <v>2019</v>
      </c>
      <c r="F381" s="2" t="s">
        <v>6</v>
      </c>
      <c r="G381">
        <v>1</v>
      </c>
      <c r="H381" s="2" t="s">
        <v>13</v>
      </c>
      <c r="I381">
        <v>1</v>
      </c>
      <c r="J381" s="2" t="s">
        <v>15</v>
      </c>
      <c r="K381">
        <v>1</v>
      </c>
      <c r="L381" s="2" t="s">
        <v>19</v>
      </c>
      <c r="M381">
        <v>1</v>
      </c>
      <c r="N381" s="2" t="s">
        <v>41</v>
      </c>
      <c r="O381">
        <v>1</v>
      </c>
    </row>
    <row r="382" spans="1:15" x14ac:dyDescent="0.35">
      <c r="A382" s="2" t="s">
        <v>92</v>
      </c>
      <c r="B382" s="2" t="s">
        <v>49</v>
      </c>
      <c r="C382" s="2" t="s">
        <v>50</v>
      </c>
      <c r="D382" s="2" t="s">
        <v>231</v>
      </c>
      <c r="E382">
        <v>2019</v>
      </c>
      <c r="F382" s="2" t="s">
        <v>6</v>
      </c>
      <c r="G382">
        <v>1</v>
      </c>
      <c r="H382" s="2" t="s">
        <v>13</v>
      </c>
      <c r="I382">
        <v>1</v>
      </c>
      <c r="J382" s="2" t="s">
        <v>15</v>
      </c>
      <c r="K382">
        <v>1</v>
      </c>
      <c r="L382" s="2" t="s">
        <v>19</v>
      </c>
      <c r="M382">
        <v>1</v>
      </c>
      <c r="N382" s="2" t="s">
        <v>44</v>
      </c>
      <c r="O382">
        <v>1</v>
      </c>
    </row>
    <row r="383" spans="1:15" x14ac:dyDescent="0.35">
      <c r="A383" s="2" t="s">
        <v>92</v>
      </c>
      <c r="B383" s="2" t="s">
        <v>49</v>
      </c>
      <c r="C383" s="2" t="s">
        <v>50</v>
      </c>
      <c r="D383" s="2" t="s">
        <v>231</v>
      </c>
      <c r="E383">
        <v>2019</v>
      </c>
      <c r="F383" s="2" t="s">
        <v>6</v>
      </c>
      <c r="G383">
        <v>1</v>
      </c>
      <c r="H383" s="2" t="s">
        <v>13</v>
      </c>
      <c r="I383">
        <v>1</v>
      </c>
      <c r="J383" s="2" t="s">
        <v>15</v>
      </c>
      <c r="K383">
        <v>1</v>
      </c>
      <c r="L383" s="2" t="s">
        <v>19</v>
      </c>
      <c r="M383">
        <v>1</v>
      </c>
      <c r="N383" s="2" t="s">
        <v>46</v>
      </c>
      <c r="O383">
        <v>1</v>
      </c>
    </row>
    <row r="384" spans="1:15" x14ac:dyDescent="0.35">
      <c r="A384" s="2" t="s">
        <v>92</v>
      </c>
      <c r="B384" s="2" t="s">
        <v>49</v>
      </c>
      <c r="C384" s="2" t="s">
        <v>50</v>
      </c>
      <c r="D384" s="2" t="s">
        <v>231</v>
      </c>
      <c r="E384">
        <v>2019</v>
      </c>
      <c r="F384" s="2" t="s">
        <v>6</v>
      </c>
      <c r="G384">
        <v>1</v>
      </c>
      <c r="H384" s="2" t="s">
        <v>13</v>
      </c>
      <c r="I384">
        <v>1</v>
      </c>
      <c r="J384" s="2" t="s">
        <v>15</v>
      </c>
      <c r="K384">
        <v>1</v>
      </c>
      <c r="L384" s="2" t="s">
        <v>23</v>
      </c>
      <c r="M384">
        <v>1</v>
      </c>
      <c r="N384" s="2" t="s">
        <v>32</v>
      </c>
      <c r="O384">
        <v>1</v>
      </c>
    </row>
    <row r="385" spans="1:15" x14ac:dyDescent="0.35">
      <c r="A385" s="2" t="s">
        <v>92</v>
      </c>
      <c r="B385" s="2" t="s">
        <v>49</v>
      </c>
      <c r="C385" s="2" t="s">
        <v>50</v>
      </c>
      <c r="D385" s="2" t="s">
        <v>231</v>
      </c>
      <c r="E385">
        <v>2019</v>
      </c>
      <c r="F385" s="2" t="s">
        <v>6</v>
      </c>
      <c r="G385">
        <v>1</v>
      </c>
      <c r="H385" s="2" t="s">
        <v>13</v>
      </c>
      <c r="I385">
        <v>1</v>
      </c>
      <c r="J385" s="2" t="s">
        <v>15</v>
      </c>
      <c r="K385">
        <v>1</v>
      </c>
      <c r="L385" s="2" t="s">
        <v>23</v>
      </c>
      <c r="M385">
        <v>1</v>
      </c>
      <c r="N385" s="2" t="s">
        <v>37</v>
      </c>
      <c r="O385">
        <v>1</v>
      </c>
    </row>
    <row r="386" spans="1:15" x14ac:dyDescent="0.35">
      <c r="A386" s="2" t="s">
        <v>92</v>
      </c>
      <c r="B386" s="2" t="s">
        <v>49</v>
      </c>
      <c r="C386" s="2" t="s">
        <v>50</v>
      </c>
      <c r="D386" s="2" t="s">
        <v>231</v>
      </c>
      <c r="E386">
        <v>2019</v>
      </c>
      <c r="F386" s="2" t="s">
        <v>6</v>
      </c>
      <c r="G386">
        <v>1</v>
      </c>
      <c r="H386" s="2" t="s">
        <v>13</v>
      </c>
      <c r="I386">
        <v>1</v>
      </c>
      <c r="J386" s="2" t="s">
        <v>15</v>
      </c>
      <c r="K386">
        <v>1</v>
      </c>
      <c r="L386" s="2" t="s">
        <v>23</v>
      </c>
      <c r="M386">
        <v>1</v>
      </c>
      <c r="N386" s="2" t="s">
        <v>38</v>
      </c>
      <c r="O386">
        <v>1</v>
      </c>
    </row>
    <row r="387" spans="1:15" x14ac:dyDescent="0.35">
      <c r="A387" s="2" t="s">
        <v>92</v>
      </c>
      <c r="B387" s="2" t="s">
        <v>49</v>
      </c>
      <c r="C387" s="2" t="s">
        <v>50</v>
      </c>
      <c r="D387" s="2" t="s">
        <v>231</v>
      </c>
      <c r="E387">
        <v>2019</v>
      </c>
      <c r="F387" s="2" t="s">
        <v>6</v>
      </c>
      <c r="G387">
        <v>1</v>
      </c>
      <c r="H387" s="2" t="s">
        <v>13</v>
      </c>
      <c r="I387">
        <v>1</v>
      </c>
      <c r="J387" s="2" t="s">
        <v>15</v>
      </c>
      <c r="K387">
        <v>1</v>
      </c>
      <c r="L387" s="2" t="s">
        <v>23</v>
      </c>
      <c r="M387">
        <v>1</v>
      </c>
      <c r="N387" s="2" t="s">
        <v>40</v>
      </c>
      <c r="O387">
        <v>1</v>
      </c>
    </row>
    <row r="388" spans="1:15" x14ac:dyDescent="0.35">
      <c r="A388" s="2" t="s">
        <v>92</v>
      </c>
      <c r="B388" s="2" t="s">
        <v>49</v>
      </c>
      <c r="C388" s="2" t="s">
        <v>50</v>
      </c>
      <c r="D388" s="2" t="s">
        <v>231</v>
      </c>
      <c r="E388">
        <v>2019</v>
      </c>
      <c r="F388" s="2" t="s">
        <v>6</v>
      </c>
      <c r="G388">
        <v>1</v>
      </c>
      <c r="H388" s="2" t="s">
        <v>13</v>
      </c>
      <c r="I388">
        <v>1</v>
      </c>
      <c r="J388" s="2" t="s">
        <v>15</v>
      </c>
      <c r="K388">
        <v>1</v>
      </c>
      <c r="L388" s="2" t="s">
        <v>23</v>
      </c>
      <c r="M388">
        <v>1</v>
      </c>
      <c r="N388" s="2" t="s">
        <v>41</v>
      </c>
      <c r="O388">
        <v>1</v>
      </c>
    </row>
    <row r="389" spans="1:15" x14ac:dyDescent="0.35">
      <c r="A389" s="2" t="s">
        <v>92</v>
      </c>
      <c r="B389" s="2" t="s">
        <v>49</v>
      </c>
      <c r="C389" s="2" t="s">
        <v>50</v>
      </c>
      <c r="D389" s="2" t="s">
        <v>231</v>
      </c>
      <c r="E389">
        <v>2019</v>
      </c>
      <c r="F389" s="2" t="s">
        <v>6</v>
      </c>
      <c r="G389">
        <v>1</v>
      </c>
      <c r="H389" s="2" t="s">
        <v>13</v>
      </c>
      <c r="I389">
        <v>1</v>
      </c>
      <c r="J389" s="2" t="s">
        <v>15</v>
      </c>
      <c r="K389">
        <v>1</v>
      </c>
      <c r="L389" s="2" t="s">
        <v>23</v>
      </c>
      <c r="M389">
        <v>1</v>
      </c>
      <c r="N389" s="2" t="s">
        <v>44</v>
      </c>
      <c r="O389">
        <v>1</v>
      </c>
    </row>
    <row r="390" spans="1:15" x14ac:dyDescent="0.35">
      <c r="A390" s="2" t="s">
        <v>92</v>
      </c>
      <c r="B390" s="2" t="s">
        <v>49</v>
      </c>
      <c r="C390" s="2" t="s">
        <v>50</v>
      </c>
      <c r="D390" s="2" t="s">
        <v>231</v>
      </c>
      <c r="E390">
        <v>2019</v>
      </c>
      <c r="F390" s="2" t="s">
        <v>6</v>
      </c>
      <c r="G390">
        <v>1</v>
      </c>
      <c r="H390" s="2" t="s">
        <v>13</v>
      </c>
      <c r="I390">
        <v>1</v>
      </c>
      <c r="J390" s="2" t="s">
        <v>15</v>
      </c>
      <c r="K390">
        <v>1</v>
      </c>
      <c r="L390" s="2" t="s">
        <v>23</v>
      </c>
      <c r="M390">
        <v>1</v>
      </c>
      <c r="N390" s="2" t="s">
        <v>46</v>
      </c>
      <c r="O390">
        <v>1</v>
      </c>
    </row>
    <row r="391" spans="1:15" x14ac:dyDescent="0.35">
      <c r="A391" s="2" t="s">
        <v>92</v>
      </c>
      <c r="B391" s="2" t="s">
        <v>49</v>
      </c>
      <c r="C391" s="2" t="s">
        <v>50</v>
      </c>
      <c r="D391" s="2" t="s">
        <v>231</v>
      </c>
      <c r="E391">
        <v>2019</v>
      </c>
      <c r="F391" s="2" t="s">
        <v>6</v>
      </c>
      <c r="G391">
        <v>1</v>
      </c>
      <c r="H391" s="2" t="s">
        <v>13</v>
      </c>
      <c r="I391">
        <v>1</v>
      </c>
      <c r="J391" s="2" t="s">
        <v>16</v>
      </c>
      <c r="K391">
        <v>1</v>
      </c>
      <c r="L391" s="2" t="s">
        <v>19</v>
      </c>
      <c r="M391">
        <v>1</v>
      </c>
      <c r="N391" s="2" t="s">
        <v>32</v>
      </c>
      <c r="O391">
        <v>1</v>
      </c>
    </row>
    <row r="392" spans="1:15" x14ac:dyDescent="0.35">
      <c r="A392" s="2" t="s">
        <v>92</v>
      </c>
      <c r="B392" s="2" t="s">
        <v>49</v>
      </c>
      <c r="C392" s="2" t="s">
        <v>50</v>
      </c>
      <c r="D392" s="2" t="s">
        <v>231</v>
      </c>
      <c r="E392">
        <v>2019</v>
      </c>
      <c r="F392" s="2" t="s">
        <v>6</v>
      </c>
      <c r="G392">
        <v>1</v>
      </c>
      <c r="H392" s="2" t="s">
        <v>13</v>
      </c>
      <c r="I392">
        <v>1</v>
      </c>
      <c r="J392" s="2" t="s">
        <v>16</v>
      </c>
      <c r="K392">
        <v>1</v>
      </c>
      <c r="L392" s="2" t="s">
        <v>19</v>
      </c>
      <c r="M392">
        <v>1</v>
      </c>
      <c r="N392" s="2" t="s">
        <v>37</v>
      </c>
      <c r="O392">
        <v>1</v>
      </c>
    </row>
    <row r="393" spans="1:15" x14ac:dyDescent="0.35">
      <c r="A393" s="2" t="s">
        <v>92</v>
      </c>
      <c r="B393" s="2" t="s">
        <v>49</v>
      </c>
      <c r="C393" s="2" t="s">
        <v>50</v>
      </c>
      <c r="D393" s="2" t="s">
        <v>231</v>
      </c>
      <c r="E393">
        <v>2019</v>
      </c>
      <c r="F393" s="2" t="s">
        <v>6</v>
      </c>
      <c r="G393">
        <v>1</v>
      </c>
      <c r="H393" s="2" t="s">
        <v>13</v>
      </c>
      <c r="I393">
        <v>1</v>
      </c>
      <c r="J393" s="2" t="s">
        <v>16</v>
      </c>
      <c r="K393">
        <v>1</v>
      </c>
      <c r="L393" s="2" t="s">
        <v>19</v>
      </c>
      <c r="M393">
        <v>1</v>
      </c>
      <c r="N393" s="2" t="s">
        <v>38</v>
      </c>
      <c r="O393">
        <v>1</v>
      </c>
    </row>
    <row r="394" spans="1:15" x14ac:dyDescent="0.35">
      <c r="A394" s="2" t="s">
        <v>92</v>
      </c>
      <c r="B394" s="2" t="s">
        <v>49</v>
      </c>
      <c r="C394" s="2" t="s">
        <v>50</v>
      </c>
      <c r="D394" s="2" t="s">
        <v>231</v>
      </c>
      <c r="E394">
        <v>2019</v>
      </c>
      <c r="F394" s="2" t="s">
        <v>6</v>
      </c>
      <c r="G394">
        <v>1</v>
      </c>
      <c r="H394" s="2" t="s">
        <v>13</v>
      </c>
      <c r="I394">
        <v>1</v>
      </c>
      <c r="J394" s="2" t="s">
        <v>16</v>
      </c>
      <c r="K394">
        <v>1</v>
      </c>
      <c r="L394" s="2" t="s">
        <v>19</v>
      </c>
      <c r="M394">
        <v>1</v>
      </c>
      <c r="N394" s="2" t="s">
        <v>40</v>
      </c>
      <c r="O394">
        <v>1</v>
      </c>
    </row>
    <row r="395" spans="1:15" x14ac:dyDescent="0.35">
      <c r="A395" s="2" t="s">
        <v>92</v>
      </c>
      <c r="B395" s="2" t="s">
        <v>49</v>
      </c>
      <c r="C395" s="2" t="s">
        <v>50</v>
      </c>
      <c r="D395" s="2" t="s">
        <v>231</v>
      </c>
      <c r="E395">
        <v>2019</v>
      </c>
      <c r="F395" s="2" t="s">
        <v>6</v>
      </c>
      <c r="G395">
        <v>1</v>
      </c>
      <c r="H395" s="2" t="s">
        <v>13</v>
      </c>
      <c r="I395">
        <v>1</v>
      </c>
      <c r="J395" s="2" t="s">
        <v>16</v>
      </c>
      <c r="K395">
        <v>1</v>
      </c>
      <c r="L395" s="2" t="s">
        <v>19</v>
      </c>
      <c r="M395">
        <v>1</v>
      </c>
      <c r="N395" s="2" t="s">
        <v>41</v>
      </c>
      <c r="O395">
        <v>1</v>
      </c>
    </row>
    <row r="396" spans="1:15" x14ac:dyDescent="0.35">
      <c r="A396" s="2" t="s">
        <v>92</v>
      </c>
      <c r="B396" s="2" t="s">
        <v>49</v>
      </c>
      <c r="C396" s="2" t="s">
        <v>50</v>
      </c>
      <c r="D396" s="2" t="s">
        <v>231</v>
      </c>
      <c r="E396">
        <v>2019</v>
      </c>
      <c r="F396" s="2" t="s">
        <v>6</v>
      </c>
      <c r="G396">
        <v>1</v>
      </c>
      <c r="H396" s="2" t="s">
        <v>13</v>
      </c>
      <c r="I396">
        <v>1</v>
      </c>
      <c r="J396" s="2" t="s">
        <v>16</v>
      </c>
      <c r="K396">
        <v>1</v>
      </c>
      <c r="L396" s="2" t="s">
        <v>19</v>
      </c>
      <c r="M396">
        <v>1</v>
      </c>
      <c r="N396" s="2" t="s">
        <v>44</v>
      </c>
      <c r="O396">
        <v>1</v>
      </c>
    </row>
    <row r="397" spans="1:15" x14ac:dyDescent="0.35">
      <c r="A397" s="2" t="s">
        <v>92</v>
      </c>
      <c r="B397" s="2" t="s">
        <v>49</v>
      </c>
      <c r="C397" s="2" t="s">
        <v>50</v>
      </c>
      <c r="D397" s="2" t="s">
        <v>231</v>
      </c>
      <c r="E397">
        <v>2019</v>
      </c>
      <c r="F397" s="2" t="s">
        <v>6</v>
      </c>
      <c r="G397">
        <v>1</v>
      </c>
      <c r="H397" s="2" t="s">
        <v>13</v>
      </c>
      <c r="I397">
        <v>1</v>
      </c>
      <c r="J397" s="2" t="s">
        <v>16</v>
      </c>
      <c r="K397">
        <v>1</v>
      </c>
      <c r="L397" s="2" t="s">
        <v>19</v>
      </c>
      <c r="M397">
        <v>1</v>
      </c>
      <c r="N397" s="2" t="s">
        <v>46</v>
      </c>
      <c r="O397">
        <v>1</v>
      </c>
    </row>
    <row r="398" spans="1:15" x14ac:dyDescent="0.35">
      <c r="A398" s="2" t="s">
        <v>92</v>
      </c>
      <c r="B398" s="2" t="s">
        <v>49</v>
      </c>
      <c r="C398" s="2" t="s">
        <v>50</v>
      </c>
      <c r="D398" s="2" t="s">
        <v>231</v>
      </c>
      <c r="E398">
        <v>2019</v>
      </c>
      <c r="F398" s="2" t="s">
        <v>6</v>
      </c>
      <c r="G398">
        <v>1</v>
      </c>
      <c r="H398" s="2" t="s">
        <v>13</v>
      </c>
      <c r="I398">
        <v>1</v>
      </c>
      <c r="J398" s="2" t="s">
        <v>16</v>
      </c>
      <c r="K398">
        <v>1</v>
      </c>
      <c r="L398" s="2" t="s">
        <v>23</v>
      </c>
      <c r="M398">
        <v>1</v>
      </c>
      <c r="N398" s="2" t="s">
        <v>32</v>
      </c>
      <c r="O398">
        <v>1</v>
      </c>
    </row>
    <row r="399" spans="1:15" x14ac:dyDescent="0.35">
      <c r="A399" s="2" t="s">
        <v>92</v>
      </c>
      <c r="B399" s="2" t="s">
        <v>49</v>
      </c>
      <c r="C399" s="2" t="s">
        <v>50</v>
      </c>
      <c r="D399" s="2" t="s">
        <v>231</v>
      </c>
      <c r="E399">
        <v>2019</v>
      </c>
      <c r="F399" s="2" t="s">
        <v>6</v>
      </c>
      <c r="G399">
        <v>1</v>
      </c>
      <c r="H399" s="2" t="s">
        <v>13</v>
      </c>
      <c r="I399">
        <v>1</v>
      </c>
      <c r="J399" s="2" t="s">
        <v>16</v>
      </c>
      <c r="K399">
        <v>1</v>
      </c>
      <c r="L399" s="2" t="s">
        <v>23</v>
      </c>
      <c r="M399">
        <v>1</v>
      </c>
      <c r="N399" s="2" t="s">
        <v>37</v>
      </c>
      <c r="O399">
        <v>1</v>
      </c>
    </row>
    <row r="400" spans="1:15" x14ac:dyDescent="0.35">
      <c r="A400" s="2" t="s">
        <v>92</v>
      </c>
      <c r="B400" s="2" t="s">
        <v>49</v>
      </c>
      <c r="C400" s="2" t="s">
        <v>50</v>
      </c>
      <c r="D400" s="2" t="s">
        <v>231</v>
      </c>
      <c r="E400">
        <v>2019</v>
      </c>
      <c r="F400" s="2" t="s">
        <v>6</v>
      </c>
      <c r="G400">
        <v>1</v>
      </c>
      <c r="H400" s="2" t="s">
        <v>13</v>
      </c>
      <c r="I400">
        <v>1</v>
      </c>
      <c r="J400" s="2" t="s">
        <v>16</v>
      </c>
      <c r="K400">
        <v>1</v>
      </c>
      <c r="L400" s="2" t="s">
        <v>23</v>
      </c>
      <c r="M400">
        <v>1</v>
      </c>
      <c r="N400" s="2" t="s">
        <v>38</v>
      </c>
      <c r="O400">
        <v>1</v>
      </c>
    </row>
    <row r="401" spans="1:15" x14ac:dyDescent="0.35">
      <c r="A401" s="2" t="s">
        <v>92</v>
      </c>
      <c r="B401" s="2" t="s">
        <v>49</v>
      </c>
      <c r="C401" s="2" t="s">
        <v>50</v>
      </c>
      <c r="D401" s="2" t="s">
        <v>231</v>
      </c>
      <c r="E401">
        <v>2019</v>
      </c>
      <c r="F401" s="2" t="s">
        <v>6</v>
      </c>
      <c r="G401">
        <v>1</v>
      </c>
      <c r="H401" s="2" t="s">
        <v>13</v>
      </c>
      <c r="I401">
        <v>1</v>
      </c>
      <c r="J401" s="2" t="s">
        <v>16</v>
      </c>
      <c r="K401">
        <v>1</v>
      </c>
      <c r="L401" s="2" t="s">
        <v>23</v>
      </c>
      <c r="M401">
        <v>1</v>
      </c>
      <c r="N401" s="2" t="s">
        <v>40</v>
      </c>
      <c r="O401">
        <v>1</v>
      </c>
    </row>
    <row r="402" spans="1:15" x14ac:dyDescent="0.35">
      <c r="A402" s="2" t="s">
        <v>92</v>
      </c>
      <c r="B402" s="2" t="s">
        <v>49</v>
      </c>
      <c r="C402" s="2" t="s">
        <v>50</v>
      </c>
      <c r="D402" s="2" t="s">
        <v>231</v>
      </c>
      <c r="E402">
        <v>2019</v>
      </c>
      <c r="F402" s="2" t="s">
        <v>6</v>
      </c>
      <c r="G402">
        <v>1</v>
      </c>
      <c r="H402" s="2" t="s">
        <v>13</v>
      </c>
      <c r="I402">
        <v>1</v>
      </c>
      <c r="J402" s="2" t="s">
        <v>16</v>
      </c>
      <c r="K402">
        <v>1</v>
      </c>
      <c r="L402" s="2" t="s">
        <v>23</v>
      </c>
      <c r="M402">
        <v>1</v>
      </c>
      <c r="N402" s="2" t="s">
        <v>41</v>
      </c>
      <c r="O402">
        <v>1</v>
      </c>
    </row>
    <row r="403" spans="1:15" x14ac:dyDescent="0.35">
      <c r="A403" s="2" t="s">
        <v>92</v>
      </c>
      <c r="B403" s="2" t="s">
        <v>49</v>
      </c>
      <c r="C403" s="2" t="s">
        <v>50</v>
      </c>
      <c r="D403" s="2" t="s">
        <v>231</v>
      </c>
      <c r="E403">
        <v>2019</v>
      </c>
      <c r="F403" s="2" t="s">
        <v>6</v>
      </c>
      <c r="G403">
        <v>1</v>
      </c>
      <c r="H403" s="2" t="s">
        <v>13</v>
      </c>
      <c r="I403">
        <v>1</v>
      </c>
      <c r="J403" s="2" t="s">
        <v>16</v>
      </c>
      <c r="K403">
        <v>1</v>
      </c>
      <c r="L403" s="2" t="s">
        <v>23</v>
      </c>
      <c r="M403">
        <v>1</v>
      </c>
      <c r="N403" s="2" t="s">
        <v>44</v>
      </c>
      <c r="O403">
        <v>1</v>
      </c>
    </row>
    <row r="404" spans="1:15" x14ac:dyDescent="0.35">
      <c r="A404" s="2" t="s">
        <v>92</v>
      </c>
      <c r="B404" s="2" t="s">
        <v>49</v>
      </c>
      <c r="C404" s="2" t="s">
        <v>50</v>
      </c>
      <c r="D404" s="2" t="s">
        <v>231</v>
      </c>
      <c r="E404">
        <v>2019</v>
      </c>
      <c r="F404" s="2" t="s">
        <v>6</v>
      </c>
      <c r="G404">
        <v>1</v>
      </c>
      <c r="H404" s="2" t="s">
        <v>13</v>
      </c>
      <c r="I404">
        <v>1</v>
      </c>
      <c r="J404" s="2" t="s">
        <v>16</v>
      </c>
      <c r="K404">
        <v>1</v>
      </c>
      <c r="L404" s="2" t="s">
        <v>23</v>
      </c>
      <c r="M404">
        <v>1</v>
      </c>
      <c r="N404" s="2" t="s">
        <v>46</v>
      </c>
      <c r="O404">
        <v>1</v>
      </c>
    </row>
    <row r="405" spans="1:15" x14ac:dyDescent="0.35">
      <c r="A405" s="2" t="s">
        <v>92</v>
      </c>
      <c r="B405" s="2" t="s">
        <v>49</v>
      </c>
      <c r="C405" s="2" t="s">
        <v>50</v>
      </c>
      <c r="D405" s="2" t="s">
        <v>231</v>
      </c>
      <c r="E405">
        <v>2019</v>
      </c>
      <c r="F405" s="2" t="s">
        <v>6</v>
      </c>
      <c r="G405">
        <v>1</v>
      </c>
      <c r="H405" s="2" t="s">
        <v>13</v>
      </c>
      <c r="I405">
        <v>1</v>
      </c>
      <c r="J405" s="2" t="s">
        <v>17</v>
      </c>
      <c r="K405">
        <v>1</v>
      </c>
      <c r="L405" s="2" t="s">
        <v>19</v>
      </c>
      <c r="M405">
        <v>1</v>
      </c>
      <c r="N405" s="2" t="s">
        <v>32</v>
      </c>
      <c r="O405">
        <v>1</v>
      </c>
    </row>
    <row r="406" spans="1:15" x14ac:dyDescent="0.35">
      <c r="A406" s="2" t="s">
        <v>92</v>
      </c>
      <c r="B406" s="2" t="s">
        <v>49</v>
      </c>
      <c r="C406" s="2" t="s">
        <v>50</v>
      </c>
      <c r="D406" s="2" t="s">
        <v>231</v>
      </c>
      <c r="E406">
        <v>2019</v>
      </c>
      <c r="F406" s="2" t="s">
        <v>6</v>
      </c>
      <c r="G406">
        <v>1</v>
      </c>
      <c r="H406" s="2" t="s">
        <v>13</v>
      </c>
      <c r="I406">
        <v>1</v>
      </c>
      <c r="J406" s="2" t="s">
        <v>17</v>
      </c>
      <c r="K406">
        <v>1</v>
      </c>
      <c r="L406" s="2" t="s">
        <v>19</v>
      </c>
      <c r="M406">
        <v>1</v>
      </c>
      <c r="N406" s="2" t="s">
        <v>37</v>
      </c>
      <c r="O406">
        <v>1</v>
      </c>
    </row>
    <row r="407" spans="1:15" x14ac:dyDescent="0.35">
      <c r="A407" s="2" t="s">
        <v>92</v>
      </c>
      <c r="B407" s="2" t="s">
        <v>49</v>
      </c>
      <c r="C407" s="2" t="s">
        <v>50</v>
      </c>
      <c r="D407" s="2" t="s">
        <v>231</v>
      </c>
      <c r="E407">
        <v>2019</v>
      </c>
      <c r="F407" s="2" t="s">
        <v>6</v>
      </c>
      <c r="G407">
        <v>1</v>
      </c>
      <c r="H407" s="2" t="s">
        <v>13</v>
      </c>
      <c r="I407">
        <v>1</v>
      </c>
      <c r="J407" s="2" t="s">
        <v>17</v>
      </c>
      <c r="K407">
        <v>1</v>
      </c>
      <c r="L407" s="2" t="s">
        <v>19</v>
      </c>
      <c r="M407">
        <v>1</v>
      </c>
      <c r="N407" s="2" t="s">
        <v>38</v>
      </c>
      <c r="O407">
        <v>1</v>
      </c>
    </row>
    <row r="408" spans="1:15" x14ac:dyDescent="0.35">
      <c r="A408" s="2" t="s">
        <v>92</v>
      </c>
      <c r="B408" s="2" t="s">
        <v>49</v>
      </c>
      <c r="C408" s="2" t="s">
        <v>50</v>
      </c>
      <c r="D408" s="2" t="s">
        <v>231</v>
      </c>
      <c r="E408">
        <v>2019</v>
      </c>
      <c r="F408" s="2" t="s">
        <v>6</v>
      </c>
      <c r="G408">
        <v>1</v>
      </c>
      <c r="H408" s="2" t="s">
        <v>13</v>
      </c>
      <c r="I408">
        <v>1</v>
      </c>
      <c r="J408" s="2" t="s">
        <v>17</v>
      </c>
      <c r="K408">
        <v>1</v>
      </c>
      <c r="L408" s="2" t="s">
        <v>19</v>
      </c>
      <c r="M408">
        <v>1</v>
      </c>
      <c r="N408" s="2" t="s">
        <v>40</v>
      </c>
      <c r="O408">
        <v>1</v>
      </c>
    </row>
    <row r="409" spans="1:15" x14ac:dyDescent="0.35">
      <c r="A409" s="2" t="s">
        <v>92</v>
      </c>
      <c r="B409" s="2" t="s">
        <v>49</v>
      </c>
      <c r="C409" s="2" t="s">
        <v>50</v>
      </c>
      <c r="D409" s="2" t="s">
        <v>231</v>
      </c>
      <c r="E409">
        <v>2019</v>
      </c>
      <c r="F409" s="2" t="s">
        <v>6</v>
      </c>
      <c r="G409">
        <v>1</v>
      </c>
      <c r="H409" s="2" t="s">
        <v>13</v>
      </c>
      <c r="I409">
        <v>1</v>
      </c>
      <c r="J409" s="2" t="s">
        <v>17</v>
      </c>
      <c r="K409">
        <v>1</v>
      </c>
      <c r="L409" s="2" t="s">
        <v>19</v>
      </c>
      <c r="M409">
        <v>1</v>
      </c>
      <c r="N409" s="2" t="s">
        <v>41</v>
      </c>
      <c r="O409">
        <v>1</v>
      </c>
    </row>
    <row r="410" spans="1:15" x14ac:dyDescent="0.35">
      <c r="A410" s="2" t="s">
        <v>92</v>
      </c>
      <c r="B410" s="2" t="s">
        <v>49</v>
      </c>
      <c r="C410" s="2" t="s">
        <v>50</v>
      </c>
      <c r="D410" s="2" t="s">
        <v>231</v>
      </c>
      <c r="E410">
        <v>2019</v>
      </c>
      <c r="F410" s="2" t="s">
        <v>6</v>
      </c>
      <c r="G410">
        <v>1</v>
      </c>
      <c r="H410" s="2" t="s">
        <v>13</v>
      </c>
      <c r="I410">
        <v>1</v>
      </c>
      <c r="J410" s="2" t="s">
        <v>17</v>
      </c>
      <c r="K410">
        <v>1</v>
      </c>
      <c r="L410" s="2" t="s">
        <v>19</v>
      </c>
      <c r="M410">
        <v>1</v>
      </c>
      <c r="N410" s="2" t="s">
        <v>44</v>
      </c>
      <c r="O410">
        <v>1</v>
      </c>
    </row>
    <row r="411" spans="1:15" x14ac:dyDescent="0.35">
      <c r="A411" s="2" t="s">
        <v>92</v>
      </c>
      <c r="B411" s="2" t="s">
        <v>49</v>
      </c>
      <c r="C411" s="2" t="s">
        <v>50</v>
      </c>
      <c r="D411" s="2" t="s">
        <v>231</v>
      </c>
      <c r="E411">
        <v>2019</v>
      </c>
      <c r="F411" s="2" t="s">
        <v>6</v>
      </c>
      <c r="G411">
        <v>1</v>
      </c>
      <c r="H411" s="2" t="s">
        <v>13</v>
      </c>
      <c r="I411">
        <v>1</v>
      </c>
      <c r="J411" s="2" t="s">
        <v>17</v>
      </c>
      <c r="K411">
        <v>1</v>
      </c>
      <c r="L411" s="2" t="s">
        <v>19</v>
      </c>
      <c r="M411">
        <v>1</v>
      </c>
      <c r="N411" s="2" t="s">
        <v>46</v>
      </c>
      <c r="O411">
        <v>1</v>
      </c>
    </row>
    <row r="412" spans="1:15" x14ac:dyDescent="0.35">
      <c r="A412" s="2" t="s">
        <v>92</v>
      </c>
      <c r="B412" s="2" t="s">
        <v>49</v>
      </c>
      <c r="C412" s="2" t="s">
        <v>50</v>
      </c>
      <c r="D412" s="2" t="s">
        <v>231</v>
      </c>
      <c r="E412">
        <v>2019</v>
      </c>
      <c r="F412" s="2" t="s">
        <v>6</v>
      </c>
      <c r="G412">
        <v>1</v>
      </c>
      <c r="H412" s="2" t="s">
        <v>13</v>
      </c>
      <c r="I412">
        <v>1</v>
      </c>
      <c r="J412" s="2" t="s">
        <v>17</v>
      </c>
      <c r="K412">
        <v>1</v>
      </c>
      <c r="L412" s="2" t="s">
        <v>23</v>
      </c>
      <c r="M412">
        <v>1</v>
      </c>
      <c r="N412" s="2" t="s">
        <v>32</v>
      </c>
      <c r="O412">
        <v>1</v>
      </c>
    </row>
    <row r="413" spans="1:15" x14ac:dyDescent="0.35">
      <c r="A413" s="2" t="s">
        <v>92</v>
      </c>
      <c r="B413" s="2" t="s">
        <v>49</v>
      </c>
      <c r="C413" s="2" t="s">
        <v>50</v>
      </c>
      <c r="D413" s="2" t="s">
        <v>231</v>
      </c>
      <c r="E413">
        <v>2019</v>
      </c>
      <c r="F413" s="2" t="s">
        <v>6</v>
      </c>
      <c r="G413">
        <v>1</v>
      </c>
      <c r="H413" s="2" t="s">
        <v>13</v>
      </c>
      <c r="I413">
        <v>1</v>
      </c>
      <c r="J413" s="2" t="s">
        <v>17</v>
      </c>
      <c r="K413">
        <v>1</v>
      </c>
      <c r="L413" s="2" t="s">
        <v>23</v>
      </c>
      <c r="M413">
        <v>1</v>
      </c>
      <c r="N413" s="2" t="s">
        <v>37</v>
      </c>
      <c r="O413">
        <v>1</v>
      </c>
    </row>
    <row r="414" spans="1:15" x14ac:dyDescent="0.35">
      <c r="A414" s="2" t="s">
        <v>92</v>
      </c>
      <c r="B414" s="2" t="s">
        <v>49</v>
      </c>
      <c r="C414" s="2" t="s">
        <v>50</v>
      </c>
      <c r="D414" s="2" t="s">
        <v>231</v>
      </c>
      <c r="E414">
        <v>2019</v>
      </c>
      <c r="F414" s="2" t="s">
        <v>6</v>
      </c>
      <c r="G414">
        <v>1</v>
      </c>
      <c r="H414" s="2" t="s">
        <v>13</v>
      </c>
      <c r="I414">
        <v>1</v>
      </c>
      <c r="J414" s="2" t="s">
        <v>17</v>
      </c>
      <c r="K414">
        <v>1</v>
      </c>
      <c r="L414" s="2" t="s">
        <v>23</v>
      </c>
      <c r="M414">
        <v>1</v>
      </c>
      <c r="N414" s="2" t="s">
        <v>38</v>
      </c>
      <c r="O414">
        <v>1</v>
      </c>
    </row>
    <row r="415" spans="1:15" x14ac:dyDescent="0.35">
      <c r="A415" s="2" t="s">
        <v>92</v>
      </c>
      <c r="B415" s="2" t="s">
        <v>49</v>
      </c>
      <c r="C415" s="2" t="s">
        <v>50</v>
      </c>
      <c r="D415" s="2" t="s">
        <v>231</v>
      </c>
      <c r="E415">
        <v>2019</v>
      </c>
      <c r="F415" s="2" t="s">
        <v>6</v>
      </c>
      <c r="G415">
        <v>1</v>
      </c>
      <c r="H415" s="2" t="s">
        <v>13</v>
      </c>
      <c r="I415">
        <v>1</v>
      </c>
      <c r="J415" s="2" t="s">
        <v>17</v>
      </c>
      <c r="K415">
        <v>1</v>
      </c>
      <c r="L415" s="2" t="s">
        <v>23</v>
      </c>
      <c r="M415">
        <v>1</v>
      </c>
      <c r="N415" s="2" t="s">
        <v>40</v>
      </c>
      <c r="O415">
        <v>1</v>
      </c>
    </row>
    <row r="416" spans="1:15" x14ac:dyDescent="0.35">
      <c r="A416" s="2" t="s">
        <v>92</v>
      </c>
      <c r="B416" s="2" t="s">
        <v>49</v>
      </c>
      <c r="C416" s="2" t="s">
        <v>50</v>
      </c>
      <c r="D416" s="2" t="s">
        <v>231</v>
      </c>
      <c r="E416">
        <v>2019</v>
      </c>
      <c r="F416" s="2" t="s">
        <v>6</v>
      </c>
      <c r="G416">
        <v>1</v>
      </c>
      <c r="H416" s="2" t="s">
        <v>13</v>
      </c>
      <c r="I416">
        <v>1</v>
      </c>
      <c r="J416" s="2" t="s">
        <v>17</v>
      </c>
      <c r="K416">
        <v>1</v>
      </c>
      <c r="L416" s="2" t="s">
        <v>23</v>
      </c>
      <c r="M416">
        <v>1</v>
      </c>
      <c r="N416" s="2" t="s">
        <v>41</v>
      </c>
      <c r="O416">
        <v>1</v>
      </c>
    </row>
    <row r="417" spans="1:15" x14ac:dyDescent="0.35">
      <c r="A417" s="2" t="s">
        <v>92</v>
      </c>
      <c r="B417" s="2" t="s">
        <v>49</v>
      </c>
      <c r="C417" s="2" t="s">
        <v>50</v>
      </c>
      <c r="D417" s="2" t="s">
        <v>231</v>
      </c>
      <c r="E417">
        <v>2019</v>
      </c>
      <c r="F417" s="2" t="s">
        <v>6</v>
      </c>
      <c r="G417">
        <v>1</v>
      </c>
      <c r="H417" s="2" t="s">
        <v>13</v>
      </c>
      <c r="I417">
        <v>1</v>
      </c>
      <c r="J417" s="2" t="s">
        <v>17</v>
      </c>
      <c r="K417">
        <v>1</v>
      </c>
      <c r="L417" s="2" t="s">
        <v>23</v>
      </c>
      <c r="M417">
        <v>1</v>
      </c>
      <c r="N417" s="2" t="s">
        <v>44</v>
      </c>
      <c r="O417">
        <v>1</v>
      </c>
    </row>
    <row r="418" spans="1:15" x14ac:dyDescent="0.35">
      <c r="A418" s="2" t="s">
        <v>92</v>
      </c>
      <c r="B418" s="2" t="s">
        <v>49</v>
      </c>
      <c r="C418" s="2" t="s">
        <v>50</v>
      </c>
      <c r="D418" s="2" t="s">
        <v>231</v>
      </c>
      <c r="E418">
        <v>2019</v>
      </c>
      <c r="F418" s="2" t="s">
        <v>6</v>
      </c>
      <c r="G418">
        <v>1</v>
      </c>
      <c r="H418" s="2" t="s">
        <v>13</v>
      </c>
      <c r="I418">
        <v>1</v>
      </c>
      <c r="J418" s="2" t="s">
        <v>17</v>
      </c>
      <c r="K418">
        <v>1</v>
      </c>
      <c r="L418" s="2" t="s">
        <v>23</v>
      </c>
      <c r="M418">
        <v>1</v>
      </c>
      <c r="N418" s="2" t="s">
        <v>46</v>
      </c>
      <c r="O418">
        <v>1</v>
      </c>
    </row>
    <row r="419" spans="1:15" x14ac:dyDescent="0.35">
      <c r="A419" s="2" t="s">
        <v>95</v>
      </c>
      <c r="B419" s="2" t="s">
        <v>49</v>
      </c>
      <c r="C419" s="2" t="s">
        <v>50</v>
      </c>
      <c r="D419" s="2" t="s">
        <v>231</v>
      </c>
      <c r="E419">
        <v>2020</v>
      </c>
      <c r="F419" s="2" t="s">
        <v>6</v>
      </c>
      <c r="G419">
        <v>1</v>
      </c>
      <c r="H419" s="2" t="s">
        <v>13</v>
      </c>
      <c r="I419">
        <v>1</v>
      </c>
      <c r="J419" s="2" t="s">
        <v>17</v>
      </c>
      <c r="K419">
        <v>1</v>
      </c>
      <c r="L419" s="2" t="s">
        <v>23</v>
      </c>
      <c r="M419">
        <v>1</v>
      </c>
      <c r="N419" s="2" t="s">
        <v>37</v>
      </c>
      <c r="O419">
        <v>1</v>
      </c>
    </row>
    <row r="420" spans="1:15" x14ac:dyDescent="0.35">
      <c r="A420" s="2" t="s">
        <v>95</v>
      </c>
      <c r="B420" s="2" t="s">
        <v>49</v>
      </c>
      <c r="C420" s="2" t="s">
        <v>50</v>
      </c>
      <c r="D420" s="2" t="s">
        <v>231</v>
      </c>
      <c r="E420">
        <v>2020</v>
      </c>
      <c r="F420" s="2" t="s">
        <v>6</v>
      </c>
      <c r="G420">
        <v>1</v>
      </c>
      <c r="H420" s="2" t="s">
        <v>13</v>
      </c>
      <c r="I420">
        <v>1</v>
      </c>
      <c r="J420" s="2" t="s">
        <v>17</v>
      </c>
      <c r="K420">
        <v>1</v>
      </c>
      <c r="L420" s="2" t="s">
        <v>23</v>
      </c>
      <c r="M420">
        <v>1</v>
      </c>
      <c r="N420" s="2" t="s">
        <v>40</v>
      </c>
      <c r="O420">
        <v>1</v>
      </c>
    </row>
    <row r="421" spans="1:15" x14ac:dyDescent="0.35">
      <c r="A421" s="2" t="s">
        <v>128</v>
      </c>
      <c r="B421" s="2" t="s">
        <v>49</v>
      </c>
      <c r="C421" s="2" t="s">
        <v>50</v>
      </c>
      <c r="D421" s="2" t="s">
        <v>231</v>
      </c>
      <c r="E421">
        <v>2019</v>
      </c>
      <c r="F421" s="2" t="s">
        <v>6</v>
      </c>
      <c r="G421">
        <v>1</v>
      </c>
      <c r="H421" s="2" t="s">
        <v>13</v>
      </c>
      <c r="I421">
        <v>1</v>
      </c>
      <c r="J421" s="2" t="s">
        <v>16</v>
      </c>
      <c r="K421">
        <v>1</v>
      </c>
      <c r="L421" s="2" t="s">
        <v>24</v>
      </c>
      <c r="M421">
        <v>1</v>
      </c>
      <c r="N421" s="2" t="s">
        <v>32</v>
      </c>
      <c r="O421">
        <v>1</v>
      </c>
    </row>
    <row r="422" spans="1:15" x14ac:dyDescent="0.35">
      <c r="A422" s="2" t="s">
        <v>128</v>
      </c>
      <c r="B422" s="2" t="s">
        <v>49</v>
      </c>
      <c r="C422" s="2" t="s">
        <v>50</v>
      </c>
      <c r="D422" s="2" t="s">
        <v>231</v>
      </c>
      <c r="E422">
        <v>2019</v>
      </c>
      <c r="F422" s="2" t="s">
        <v>6</v>
      </c>
      <c r="G422">
        <v>1</v>
      </c>
      <c r="H422" s="2" t="s">
        <v>13</v>
      </c>
      <c r="I422">
        <v>1</v>
      </c>
      <c r="J422" s="2" t="s">
        <v>16</v>
      </c>
      <c r="K422">
        <v>1</v>
      </c>
      <c r="L422" s="2" t="s">
        <v>24</v>
      </c>
      <c r="M422">
        <v>1</v>
      </c>
      <c r="N422" s="2" t="s">
        <v>35</v>
      </c>
      <c r="O422">
        <v>1</v>
      </c>
    </row>
    <row r="423" spans="1:15" x14ac:dyDescent="0.35">
      <c r="A423" s="2" t="s">
        <v>128</v>
      </c>
      <c r="B423" s="2" t="s">
        <v>49</v>
      </c>
      <c r="C423" s="2" t="s">
        <v>50</v>
      </c>
      <c r="D423" s="2" t="s">
        <v>231</v>
      </c>
      <c r="E423">
        <v>2019</v>
      </c>
      <c r="F423" s="2" t="s">
        <v>6</v>
      </c>
      <c r="G423">
        <v>1</v>
      </c>
      <c r="H423" s="2" t="s">
        <v>13</v>
      </c>
      <c r="I423">
        <v>1</v>
      </c>
      <c r="J423" s="2" t="s">
        <v>16</v>
      </c>
      <c r="K423">
        <v>1</v>
      </c>
      <c r="L423" s="2" t="s">
        <v>24</v>
      </c>
      <c r="M423">
        <v>1</v>
      </c>
      <c r="N423" s="2" t="s">
        <v>37</v>
      </c>
      <c r="O423">
        <v>1</v>
      </c>
    </row>
    <row r="424" spans="1:15" x14ac:dyDescent="0.35">
      <c r="A424" s="2" t="s">
        <v>128</v>
      </c>
      <c r="B424" s="2" t="s">
        <v>49</v>
      </c>
      <c r="C424" s="2" t="s">
        <v>50</v>
      </c>
      <c r="D424" s="2" t="s">
        <v>231</v>
      </c>
      <c r="E424">
        <v>2019</v>
      </c>
      <c r="F424" s="2" t="s">
        <v>6</v>
      </c>
      <c r="G424">
        <v>1</v>
      </c>
      <c r="H424" s="2" t="s">
        <v>13</v>
      </c>
      <c r="I424">
        <v>1</v>
      </c>
      <c r="J424" s="2" t="s">
        <v>16</v>
      </c>
      <c r="K424">
        <v>1</v>
      </c>
      <c r="L424" s="2" t="s">
        <v>24</v>
      </c>
      <c r="M424">
        <v>1</v>
      </c>
      <c r="N424" s="2" t="s">
        <v>38</v>
      </c>
      <c r="O424">
        <v>1</v>
      </c>
    </row>
    <row r="425" spans="1:15" x14ac:dyDescent="0.35">
      <c r="A425" s="2" t="s">
        <v>134</v>
      </c>
      <c r="B425" s="2" t="s">
        <v>49</v>
      </c>
      <c r="C425" s="2" t="s">
        <v>50</v>
      </c>
      <c r="D425" s="2" t="s">
        <v>231</v>
      </c>
      <c r="E425">
        <v>2017</v>
      </c>
      <c r="F425" s="2" t="s">
        <v>6</v>
      </c>
      <c r="G425">
        <v>1</v>
      </c>
      <c r="H425" s="2" t="s">
        <v>13</v>
      </c>
      <c r="I425">
        <v>1</v>
      </c>
      <c r="J425" s="2" t="s">
        <v>14</v>
      </c>
      <c r="K425">
        <v>1</v>
      </c>
      <c r="L425" s="2" t="s">
        <v>19</v>
      </c>
      <c r="M425">
        <v>1</v>
      </c>
      <c r="N425" s="2" t="s">
        <v>35</v>
      </c>
      <c r="O425">
        <v>1</v>
      </c>
    </row>
    <row r="426" spans="1:15" x14ac:dyDescent="0.35">
      <c r="A426" s="2" t="s">
        <v>134</v>
      </c>
      <c r="B426" s="2" t="s">
        <v>49</v>
      </c>
      <c r="C426" s="2" t="s">
        <v>50</v>
      </c>
      <c r="D426" s="2" t="s">
        <v>231</v>
      </c>
      <c r="E426">
        <v>2017</v>
      </c>
      <c r="F426" s="2" t="s">
        <v>6</v>
      </c>
      <c r="G426">
        <v>1</v>
      </c>
      <c r="H426" s="2" t="s">
        <v>13</v>
      </c>
      <c r="I426">
        <v>1</v>
      </c>
      <c r="J426" s="2" t="s">
        <v>14</v>
      </c>
      <c r="K426">
        <v>1</v>
      </c>
      <c r="L426" s="2" t="s">
        <v>19</v>
      </c>
      <c r="M426">
        <v>1</v>
      </c>
      <c r="N426" s="2" t="s">
        <v>45</v>
      </c>
      <c r="O426">
        <v>1</v>
      </c>
    </row>
    <row r="427" spans="1:15" x14ac:dyDescent="0.35">
      <c r="A427" s="2" t="s">
        <v>134</v>
      </c>
      <c r="B427" s="2" t="s">
        <v>49</v>
      </c>
      <c r="C427" s="2" t="s">
        <v>50</v>
      </c>
      <c r="D427" s="2" t="s">
        <v>231</v>
      </c>
      <c r="E427">
        <v>2017</v>
      </c>
      <c r="F427" s="2" t="s">
        <v>6</v>
      </c>
      <c r="G427">
        <v>1</v>
      </c>
      <c r="H427" s="2" t="s">
        <v>13</v>
      </c>
      <c r="I427">
        <v>1</v>
      </c>
      <c r="J427" s="2" t="s">
        <v>17</v>
      </c>
      <c r="K427">
        <v>1</v>
      </c>
      <c r="L427" s="2" t="s">
        <v>19</v>
      </c>
      <c r="M427">
        <v>1</v>
      </c>
      <c r="N427" s="2" t="s">
        <v>35</v>
      </c>
      <c r="O427">
        <v>1</v>
      </c>
    </row>
    <row r="428" spans="1:15" x14ac:dyDescent="0.35">
      <c r="A428" s="2" t="s">
        <v>134</v>
      </c>
      <c r="B428" s="2" t="s">
        <v>49</v>
      </c>
      <c r="C428" s="2" t="s">
        <v>50</v>
      </c>
      <c r="D428" s="2" t="s">
        <v>231</v>
      </c>
      <c r="E428">
        <v>2017</v>
      </c>
      <c r="F428" s="2" t="s">
        <v>6</v>
      </c>
      <c r="G428">
        <v>1</v>
      </c>
      <c r="H428" s="2" t="s">
        <v>13</v>
      </c>
      <c r="I428">
        <v>1</v>
      </c>
      <c r="J428" s="2" t="s">
        <v>17</v>
      </c>
      <c r="K428">
        <v>1</v>
      </c>
      <c r="L428" s="2" t="s">
        <v>19</v>
      </c>
      <c r="M428">
        <v>1</v>
      </c>
      <c r="N428" s="2" t="s">
        <v>45</v>
      </c>
      <c r="O428">
        <v>1</v>
      </c>
    </row>
    <row r="429" spans="1:15" x14ac:dyDescent="0.35">
      <c r="A429" s="2" t="s">
        <v>136</v>
      </c>
      <c r="B429" s="2" t="s">
        <v>66</v>
      </c>
      <c r="C429" s="2" t="s">
        <v>50</v>
      </c>
      <c r="D429" s="2" t="s">
        <v>231</v>
      </c>
      <c r="E429">
        <v>2021</v>
      </c>
      <c r="F429" s="2" t="s">
        <v>6</v>
      </c>
      <c r="G429">
        <v>1</v>
      </c>
      <c r="H429" s="2" t="s">
        <v>13</v>
      </c>
      <c r="I429">
        <v>1</v>
      </c>
      <c r="J429" s="2" t="s">
        <v>14</v>
      </c>
      <c r="K429">
        <v>1</v>
      </c>
      <c r="L429" s="2" t="s">
        <v>24</v>
      </c>
      <c r="M429">
        <v>1</v>
      </c>
      <c r="N429" s="2" t="s">
        <v>33</v>
      </c>
      <c r="O429">
        <v>1</v>
      </c>
    </row>
    <row r="430" spans="1:15" x14ac:dyDescent="0.35">
      <c r="A430" s="2" t="s">
        <v>136</v>
      </c>
      <c r="B430" s="2" t="s">
        <v>66</v>
      </c>
      <c r="C430" s="2" t="s">
        <v>50</v>
      </c>
      <c r="D430" s="2" t="s">
        <v>231</v>
      </c>
      <c r="E430">
        <v>2021</v>
      </c>
      <c r="F430" s="2" t="s">
        <v>6</v>
      </c>
      <c r="G430">
        <v>1</v>
      </c>
      <c r="H430" s="2" t="s">
        <v>13</v>
      </c>
      <c r="I430">
        <v>1</v>
      </c>
      <c r="J430" s="2" t="s">
        <v>14</v>
      </c>
      <c r="K430">
        <v>1</v>
      </c>
      <c r="L430" s="2" t="s">
        <v>24</v>
      </c>
      <c r="M430">
        <v>1</v>
      </c>
      <c r="N430" s="2" t="s">
        <v>37</v>
      </c>
      <c r="O430">
        <v>1</v>
      </c>
    </row>
    <row r="431" spans="1:15" x14ac:dyDescent="0.35">
      <c r="A431" s="2" t="s">
        <v>136</v>
      </c>
      <c r="B431" s="2" t="s">
        <v>66</v>
      </c>
      <c r="C431" s="2" t="s">
        <v>50</v>
      </c>
      <c r="D431" s="2" t="s">
        <v>231</v>
      </c>
      <c r="E431">
        <v>2021</v>
      </c>
      <c r="F431" s="2" t="s">
        <v>6</v>
      </c>
      <c r="G431">
        <v>1</v>
      </c>
      <c r="H431" s="2" t="s">
        <v>13</v>
      </c>
      <c r="I431">
        <v>1</v>
      </c>
      <c r="J431" s="2" t="s">
        <v>14</v>
      </c>
      <c r="K431">
        <v>1</v>
      </c>
      <c r="L431" s="2" t="s">
        <v>24</v>
      </c>
      <c r="M431">
        <v>1</v>
      </c>
      <c r="N431" s="2" t="s">
        <v>38</v>
      </c>
      <c r="O431">
        <v>1</v>
      </c>
    </row>
    <row r="432" spans="1:15" x14ac:dyDescent="0.35">
      <c r="A432" s="2" t="s">
        <v>136</v>
      </c>
      <c r="B432" s="2" t="s">
        <v>66</v>
      </c>
      <c r="C432" s="2" t="s">
        <v>50</v>
      </c>
      <c r="D432" s="2" t="s">
        <v>231</v>
      </c>
      <c r="E432">
        <v>2021</v>
      </c>
      <c r="F432" s="2" t="s">
        <v>6</v>
      </c>
      <c r="G432">
        <v>1</v>
      </c>
      <c r="H432" s="2" t="s">
        <v>13</v>
      </c>
      <c r="I432">
        <v>1</v>
      </c>
      <c r="J432" s="2" t="s">
        <v>15</v>
      </c>
      <c r="K432">
        <v>1</v>
      </c>
      <c r="L432" s="2" t="s">
        <v>24</v>
      </c>
      <c r="M432">
        <v>1</v>
      </c>
      <c r="N432" s="2" t="s">
        <v>33</v>
      </c>
      <c r="O432">
        <v>1</v>
      </c>
    </row>
    <row r="433" spans="1:15" x14ac:dyDescent="0.35">
      <c r="A433" s="2" t="s">
        <v>136</v>
      </c>
      <c r="B433" s="2" t="s">
        <v>66</v>
      </c>
      <c r="C433" s="2" t="s">
        <v>50</v>
      </c>
      <c r="D433" s="2" t="s">
        <v>231</v>
      </c>
      <c r="E433">
        <v>2021</v>
      </c>
      <c r="F433" s="2" t="s">
        <v>6</v>
      </c>
      <c r="G433">
        <v>1</v>
      </c>
      <c r="H433" s="2" t="s">
        <v>13</v>
      </c>
      <c r="I433">
        <v>1</v>
      </c>
      <c r="J433" s="2" t="s">
        <v>15</v>
      </c>
      <c r="K433">
        <v>1</v>
      </c>
      <c r="L433" s="2" t="s">
        <v>24</v>
      </c>
      <c r="M433">
        <v>1</v>
      </c>
      <c r="N433" s="2" t="s">
        <v>37</v>
      </c>
      <c r="O433">
        <v>1</v>
      </c>
    </row>
    <row r="434" spans="1:15" x14ac:dyDescent="0.35">
      <c r="A434" s="2" t="s">
        <v>136</v>
      </c>
      <c r="B434" s="2" t="s">
        <v>66</v>
      </c>
      <c r="C434" s="2" t="s">
        <v>50</v>
      </c>
      <c r="D434" s="2" t="s">
        <v>231</v>
      </c>
      <c r="E434">
        <v>2021</v>
      </c>
      <c r="F434" s="2" t="s">
        <v>6</v>
      </c>
      <c r="G434">
        <v>1</v>
      </c>
      <c r="H434" s="2" t="s">
        <v>13</v>
      </c>
      <c r="I434">
        <v>1</v>
      </c>
      <c r="J434" s="2" t="s">
        <v>15</v>
      </c>
      <c r="K434">
        <v>1</v>
      </c>
      <c r="L434" s="2" t="s">
        <v>24</v>
      </c>
      <c r="M434">
        <v>1</v>
      </c>
      <c r="N434" s="2" t="s">
        <v>38</v>
      </c>
      <c r="O434">
        <v>1</v>
      </c>
    </row>
    <row r="435" spans="1:15" x14ac:dyDescent="0.35">
      <c r="A435" s="2" t="s">
        <v>142</v>
      </c>
      <c r="B435" s="2" t="s">
        <v>49</v>
      </c>
      <c r="C435" s="2" t="s">
        <v>50</v>
      </c>
      <c r="D435" s="2" t="s">
        <v>231</v>
      </c>
      <c r="E435">
        <v>2017</v>
      </c>
      <c r="F435" s="2" t="s">
        <v>6</v>
      </c>
      <c r="G435">
        <v>1</v>
      </c>
      <c r="H435" s="2" t="s">
        <v>13</v>
      </c>
      <c r="I435">
        <v>1</v>
      </c>
      <c r="J435" s="2" t="s">
        <v>15</v>
      </c>
      <c r="K435">
        <v>1</v>
      </c>
      <c r="L435" s="2" t="s">
        <v>19</v>
      </c>
      <c r="M435">
        <v>1</v>
      </c>
      <c r="N435" s="2" t="s">
        <v>35</v>
      </c>
      <c r="O435">
        <v>1</v>
      </c>
    </row>
    <row r="436" spans="1:15" x14ac:dyDescent="0.35">
      <c r="A436" s="2" t="s">
        <v>142</v>
      </c>
      <c r="B436" s="2" t="s">
        <v>49</v>
      </c>
      <c r="C436" s="2" t="s">
        <v>50</v>
      </c>
      <c r="D436" s="2" t="s">
        <v>231</v>
      </c>
      <c r="E436">
        <v>2017</v>
      </c>
      <c r="F436" s="2" t="s">
        <v>6</v>
      </c>
      <c r="G436">
        <v>1</v>
      </c>
      <c r="H436" s="2" t="s">
        <v>13</v>
      </c>
      <c r="I436">
        <v>1</v>
      </c>
      <c r="J436" s="2" t="s">
        <v>15</v>
      </c>
      <c r="K436">
        <v>1</v>
      </c>
      <c r="L436" s="2" t="s">
        <v>19</v>
      </c>
      <c r="M436">
        <v>1</v>
      </c>
      <c r="N436" s="2" t="s">
        <v>45</v>
      </c>
      <c r="O436">
        <v>1</v>
      </c>
    </row>
    <row r="437" spans="1:15" x14ac:dyDescent="0.35">
      <c r="A437" s="2" t="s">
        <v>142</v>
      </c>
      <c r="B437" s="2" t="s">
        <v>49</v>
      </c>
      <c r="C437" s="2" t="s">
        <v>50</v>
      </c>
      <c r="D437" s="2" t="s">
        <v>231</v>
      </c>
      <c r="E437">
        <v>2017</v>
      </c>
      <c r="F437" s="2" t="s">
        <v>6</v>
      </c>
      <c r="G437">
        <v>1</v>
      </c>
      <c r="H437" s="2" t="s">
        <v>13</v>
      </c>
      <c r="I437">
        <v>1</v>
      </c>
      <c r="J437" s="2" t="s">
        <v>16</v>
      </c>
      <c r="K437">
        <v>1</v>
      </c>
      <c r="L437" s="2" t="s">
        <v>19</v>
      </c>
      <c r="M437">
        <v>1</v>
      </c>
      <c r="N437" s="2" t="s">
        <v>35</v>
      </c>
      <c r="O437">
        <v>1</v>
      </c>
    </row>
    <row r="438" spans="1:15" x14ac:dyDescent="0.35">
      <c r="A438" s="2" t="s">
        <v>142</v>
      </c>
      <c r="B438" s="2" t="s">
        <v>49</v>
      </c>
      <c r="C438" s="2" t="s">
        <v>50</v>
      </c>
      <c r="D438" s="2" t="s">
        <v>231</v>
      </c>
      <c r="E438">
        <v>2017</v>
      </c>
      <c r="F438" s="2" t="s">
        <v>6</v>
      </c>
      <c r="G438">
        <v>1</v>
      </c>
      <c r="H438" s="2" t="s">
        <v>13</v>
      </c>
      <c r="I438">
        <v>1</v>
      </c>
      <c r="J438" s="2" t="s">
        <v>16</v>
      </c>
      <c r="K438">
        <v>1</v>
      </c>
      <c r="L438" s="2" t="s">
        <v>19</v>
      </c>
      <c r="M438">
        <v>1</v>
      </c>
      <c r="N438" s="2" t="s">
        <v>45</v>
      </c>
      <c r="O438">
        <v>1</v>
      </c>
    </row>
    <row r="439" spans="1:15" x14ac:dyDescent="0.35">
      <c r="A439" s="2" t="s">
        <v>144</v>
      </c>
      <c r="B439" s="2" t="s">
        <v>49</v>
      </c>
      <c r="C439" s="2" t="s">
        <v>50</v>
      </c>
      <c r="D439" s="2" t="s">
        <v>231</v>
      </c>
      <c r="E439">
        <v>2020</v>
      </c>
      <c r="F439" s="2" t="s">
        <v>6</v>
      </c>
      <c r="G439">
        <v>1</v>
      </c>
      <c r="H439" s="2" t="s">
        <v>13</v>
      </c>
      <c r="I439">
        <v>1</v>
      </c>
      <c r="J439" s="2" t="s">
        <v>17</v>
      </c>
      <c r="K439">
        <v>1</v>
      </c>
      <c r="L439" s="2" t="s">
        <v>23</v>
      </c>
      <c r="M439">
        <v>1</v>
      </c>
      <c r="N439" s="2" t="s">
        <v>44</v>
      </c>
      <c r="O439">
        <v>1</v>
      </c>
    </row>
    <row r="440" spans="1:15" x14ac:dyDescent="0.35">
      <c r="A440" s="2" t="s">
        <v>145</v>
      </c>
      <c r="B440" s="2" t="s">
        <v>49</v>
      </c>
      <c r="C440" s="2" t="s">
        <v>50</v>
      </c>
      <c r="D440" s="2" t="s">
        <v>231</v>
      </c>
      <c r="E440">
        <v>2020</v>
      </c>
      <c r="F440" s="2" t="s">
        <v>6</v>
      </c>
      <c r="G440">
        <v>1</v>
      </c>
      <c r="H440" s="2" t="s">
        <v>13</v>
      </c>
      <c r="I440">
        <v>1</v>
      </c>
      <c r="J440" s="2" t="s">
        <v>17</v>
      </c>
      <c r="K440">
        <v>1</v>
      </c>
      <c r="L440" s="2" t="s">
        <v>23</v>
      </c>
      <c r="M440">
        <v>1</v>
      </c>
      <c r="N440" s="2" t="s">
        <v>44</v>
      </c>
      <c r="O440">
        <v>1</v>
      </c>
    </row>
    <row r="441" spans="1:15" x14ac:dyDescent="0.35">
      <c r="A441" s="2" t="s">
        <v>148</v>
      </c>
      <c r="B441" s="2" t="s">
        <v>49</v>
      </c>
      <c r="C441" s="2" t="s">
        <v>50</v>
      </c>
      <c r="D441" s="2" t="s">
        <v>231</v>
      </c>
      <c r="E441">
        <v>2018</v>
      </c>
      <c r="F441" s="2" t="s">
        <v>6</v>
      </c>
      <c r="G441">
        <v>1</v>
      </c>
      <c r="H441" s="2" t="s">
        <v>13</v>
      </c>
      <c r="I441">
        <v>1</v>
      </c>
      <c r="J441" s="2" t="s">
        <v>15</v>
      </c>
      <c r="K441">
        <v>1</v>
      </c>
      <c r="L441" s="2" t="s">
        <v>19</v>
      </c>
      <c r="M441">
        <v>1</v>
      </c>
      <c r="N441" s="2" t="s">
        <v>35</v>
      </c>
      <c r="O441">
        <v>1</v>
      </c>
    </row>
    <row r="442" spans="1:15" x14ac:dyDescent="0.35">
      <c r="A442" s="2" t="s">
        <v>148</v>
      </c>
      <c r="B442" s="2" t="s">
        <v>49</v>
      </c>
      <c r="C442" s="2" t="s">
        <v>50</v>
      </c>
      <c r="D442" s="2" t="s">
        <v>231</v>
      </c>
      <c r="E442">
        <v>2018</v>
      </c>
      <c r="F442" s="2" t="s">
        <v>6</v>
      </c>
      <c r="G442">
        <v>1</v>
      </c>
      <c r="H442" s="2" t="s">
        <v>13</v>
      </c>
      <c r="I442">
        <v>1</v>
      </c>
      <c r="J442" s="2" t="s">
        <v>15</v>
      </c>
      <c r="K442">
        <v>1</v>
      </c>
      <c r="L442" s="2" t="s">
        <v>19</v>
      </c>
      <c r="M442">
        <v>1</v>
      </c>
      <c r="N442" s="2" t="s">
        <v>45</v>
      </c>
      <c r="O442">
        <v>1</v>
      </c>
    </row>
    <row r="443" spans="1:15" x14ac:dyDescent="0.35">
      <c r="A443" s="2" t="s">
        <v>148</v>
      </c>
      <c r="B443" s="2" t="s">
        <v>49</v>
      </c>
      <c r="C443" s="2" t="s">
        <v>50</v>
      </c>
      <c r="D443" s="2" t="s">
        <v>231</v>
      </c>
      <c r="E443">
        <v>2018</v>
      </c>
      <c r="F443" s="2" t="s">
        <v>6</v>
      </c>
      <c r="G443">
        <v>1</v>
      </c>
      <c r="H443" s="2" t="s">
        <v>13</v>
      </c>
      <c r="I443">
        <v>1</v>
      </c>
      <c r="J443" s="2" t="s">
        <v>17</v>
      </c>
      <c r="K443">
        <v>1</v>
      </c>
      <c r="L443" s="2" t="s">
        <v>19</v>
      </c>
      <c r="M443">
        <v>1</v>
      </c>
      <c r="N443" s="2" t="s">
        <v>35</v>
      </c>
      <c r="O443">
        <v>1</v>
      </c>
    </row>
    <row r="444" spans="1:15" x14ac:dyDescent="0.35">
      <c r="A444" s="2" t="s">
        <v>148</v>
      </c>
      <c r="B444" s="2" t="s">
        <v>49</v>
      </c>
      <c r="C444" s="2" t="s">
        <v>50</v>
      </c>
      <c r="D444" s="2" t="s">
        <v>231</v>
      </c>
      <c r="E444">
        <v>2018</v>
      </c>
      <c r="F444" s="2" t="s">
        <v>6</v>
      </c>
      <c r="G444">
        <v>1</v>
      </c>
      <c r="H444" s="2" t="s">
        <v>13</v>
      </c>
      <c r="I444">
        <v>1</v>
      </c>
      <c r="J444" s="2" t="s">
        <v>17</v>
      </c>
      <c r="K444">
        <v>1</v>
      </c>
      <c r="L444" s="2" t="s">
        <v>19</v>
      </c>
      <c r="M444">
        <v>1</v>
      </c>
      <c r="N444" s="2" t="s">
        <v>45</v>
      </c>
      <c r="O444">
        <v>1</v>
      </c>
    </row>
    <row r="445" spans="1:15" x14ac:dyDescent="0.35">
      <c r="A445" s="2" t="s">
        <v>149</v>
      </c>
      <c r="B445" s="2" t="s">
        <v>49</v>
      </c>
      <c r="C445" s="2" t="s">
        <v>50</v>
      </c>
      <c r="D445" s="2" t="s">
        <v>231</v>
      </c>
      <c r="E445">
        <v>2019</v>
      </c>
      <c r="F445" s="2" t="s">
        <v>6</v>
      </c>
      <c r="G445">
        <v>1</v>
      </c>
      <c r="H445" s="2" t="s">
        <v>13</v>
      </c>
      <c r="I445">
        <v>1</v>
      </c>
      <c r="J445" s="2" t="s">
        <v>17</v>
      </c>
      <c r="K445">
        <v>1</v>
      </c>
      <c r="L445" s="2" t="s">
        <v>19</v>
      </c>
      <c r="M445">
        <v>1</v>
      </c>
      <c r="N445" s="2" t="s">
        <v>44</v>
      </c>
      <c r="O445">
        <v>1</v>
      </c>
    </row>
    <row r="446" spans="1:15" x14ac:dyDescent="0.35">
      <c r="A446" s="2" t="s">
        <v>149</v>
      </c>
      <c r="B446" s="2" t="s">
        <v>49</v>
      </c>
      <c r="C446" s="2" t="s">
        <v>50</v>
      </c>
      <c r="D446" s="2" t="s">
        <v>231</v>
      </c>
      <c r="E446">
        <v>2019</v>
      </c>
      <c r="F446" s="2" t="s">
        <v>6</v>
      </c>
      <c r="G446">
        <v>1</v>
      </c>
      <c r="H446" s="2" t="s">
        <v>13</v>
      </c>
      <c r="I446">
        <v>1</v>
      </c>
      <c r="J446" s="2" t="s">
        <v>17</v>
      </c>
      <c r="K446">
        <v>1</v>
      </c>
      <c r="L446" s="2" t="s">
        <v>19</v>
      </c>
      <c r="M446">
        <v>1</v>
      </c>
      <c r="N446" s="2" t="s">
        <v>45</v>
      </c>
      <c r="O446">
        <v>1</v>
      </c>
    </row>
    <row r="447" spans="1:15" x14ac:dyDescent="0.35">
      <c r="A447" s="2" t="s">
        <v>156</v>
      </c>
      <c r="B447" s="2" t="s">
        <v>56</v>
      </c>
      <c r="C447" s="2" t="s">
        <v>50</v>
      </c>
      <c r="D447" s="2" t="s">
        <v>231</v>
      </c>
      <c r="E447">
        <v>2017</v>
      </c>
      <c r="F447" s="2" t="s">
        <v>6</v>
      </c>
      <c r="G447">
        <v>1</v>
      </c>
      <c r="H447" s="2" t="s">
        <v>13</v>
      </c>
      <c r="I447">
        <v>1</v>
      </c>
      <c r="J447" s="2" t="s">
        <v>15</v>
      </c>
      <c r="K447">
        <v>1</v>
      </c>
      <c r="L447" s="2" t="s">
        <v>22</v>
      </c>
      <c r="M447">
        <v>1</v>
      </c>
      <c r="N447" s="2" t="s">
        <v>37</v>
      </c>
      <c r="O447">
        <v>1</v>
      </c>
    </row>
    <row r="448" spans="1:15" x14ac:dyDescent="0.35">
      <c r="A448" s="2" t="s">
        <v>156</v>
      </c>
      <c r="B448" s="2" t="s">
        <v>56</v>
      </c>
      <c r="C448" s="2" t="s">
        <v>50</v>
      </c>
      <c r="D448" s="2" t="s">
        <v>231</v>
      </c>
      <c r="E448">
        <v>2017</v>
      </c>
      <c r="F448" s="2" t="s">
        <v>6</v>
      </c>
      <c r="G448">
        <v>1</v>
      </c>
      <c r="H448" s="2" t="s">
        <v>13</v>
      </c>
      <c r="I448">
        <v>1</v>
      </c>
      <c r="J448" s="2" t="s">
        <v>15</v>
      </c>
      <c r="K448">
        <v>1</v>
      </c>
      <c r="L448" s="2" t="s">
        <v>22</v>
      </c>
      <c r="M448">
        <v>1</v>
      </c>
      <c r="N448" s="2" t="s">
        <v>38</v>
      </c>
      <c r="O448">
        <v>1</v>
      </c>
    </row>
    <row r="449" spans="1:15" x14ac:dyDescent="0.35">
      <c r="A449" s="2" t="s">
        <v>156</v>
      </c>
      <c r="B449" s="2" t="s">
        <v>56</v>
      </c>
      <c r="C449" s="2" t="s">
        <v>50</v>
      </c>
      <c r="D449" s="2" t="s">
        <v>231</v>
      </c>
      <c r="E449">
        <v>2017</v>
      </c>
      <c r="F449" s="2" t="s">
        <v>6</v>
      </c>
      <c r="G449">
        <v>1</v>
      </c>
      <c r="H449" s="2" t="s">
        <v>13</v>
      </c>
      <c r="I449">
        <v>1</v>
      </c>
      <c r="J449" s="2" t="s">
        <v>15</v>
      </c>
      <c r="K449">
        <v>1</v>
      </c>
      <c r="L449" s="2" t="s">
        <v>22</v>
      </c>
      <c r="M449">
        <v>1</v>
      </c>
      <c r="N449" s="2" t="s">
        <v>46</v>
      </c>
      <c r="O449">
        <v>1</v>
      </c>
    </row>
    <row r="450" spans="1:15" x14ac:dyDescent="0.35">
      <c r="A450" s="2" t="s">
        <v>156</v>
      </c>
      <c r="B450" s="2" t="s">
        <v>56</v>
      </c>
      <c r="C450" s="2" t="s">
        <v>50</v>
      </c>
      <c r="D450" s="2" t="s">
        <v>231</v>
      </c>
      <c r="E450">
        <v>2017</v>
      </c>
      <c r="F450" s="2" t="s">
        <v>6</v>
      </c>
      <c r="G450">
        <v>1</v>
      </c>
      <c r="H450" s="2" t="s">
        <v>13</v>
      </c>
      <c r="I450">
        <v>1</v>
      </c>
      <c r="J450" s="2" t="s">
        <v>15</v>
      </c>
      <c r="K450">
        <v>1</v>
      </c>
      <c r="L450" s="2" t="s">
        <v>24</v>
      </c>
      <c r="M450">
        <v>1</v>
      </c>
      <c r="N450" s="2" t="s">
        <v>37</v>
      </c>
      <c r="O450">
        <v>1</v>
      </c>
    </row>
    <row r="451" spans="1:15" x14ac:dyDescent="0.35">
      <c r="A451" s="2" t="s">
        <v>156</v>
      </c>
      <c r="B451" s="2" t="s">
        <v>56</v>
      </c>
      <c r="C451" s="2" t="s">
        <v>50</v>
      </c>
      <c r="D451" s="2" t="s">
        <v>231</v>
      </c>
      <c r="E451">
        <v>2017</v>
      </c>
      <c r="F451" s="2" t="s">
        <v>6</v>
      </c>
      <c r="G451">
        <v>1</v>
      </c>
      <c r="H451" s="2" t="s">
        <v>13</v>
      </c>
      <c r="I451">
        <v>1</v>
      </c>
      <c r="J451" s="2" t="s">
        <v>15</v>
      </c>
      <c r="K451">
        <v>1</v>
      </c>
      <c r="L451" s="2" t="s">
        <v>24</v>
      </c>
      <c r="M451">
        <v>1</v>
      </c>
      <c r="N451" s="2" t="s">
        <v>38</v>
      </c>
      <c r="O451">
        <v>1</v>
      </c>
    </row>
    <row r="452" spans="1:15" x14ac:dyDescent="0.35">
      <c r="A452" s="2" t="s">
        <v>156</v>
      </c>
      <c r="B452" s="2" t="s">
        <v>56</v>
      </c>
      <c r="C452" s="2" t="s">
        <v>50</v>
      </c>
      <c r="D452" s="2" t="s">
        <v>231</v>
      </c>
      <c r="E452">
        <v>2017</v>
      </c>
      <c r="F452" s="2" t="s">
        <v>6</v>
      </c>
      <c r="G452">
        <v>1</v>
      </c>
      <c r="H452" s="2" t="s">
        <v>13</v>
      </c>
      <c r="I452">
        <v>1</v>
      </c>
      <c r="J452" s="2" t="s">
        <v>15</v>
      </c>
      <c r="K452">
        <v>1</v>
      </c>
      <c r="L452" s="2" t="s">
        <v>24</v>
      </c>
      <c r="M452">
        <v>1</v>
      </c>
      <c r="N452" s="2" t="s">
        <v>46</v>
      </c>
      <c r="O452">
        <v>1</v>
      </c>
    </row>
    <row r="453" spans="1:15" x14ac:dyDescent="0.35">
      <c r="A453" s="2" t="s">
        <v>156</v>
      </c>
      <c r="B453" s="2" t="s">
        <v>56</v>
      </c>
      <c r="C453" s="2" t="s">
        <v>50</v>
      </c>
      <c r="D453" s="2" t="s">
        <v>231</v>
      </c>
      <c r="E453">
        <v>2017</v>
      </c>
      <c r="F453" s="2" t="s">
        <v>6</v>
      </c>
      <c r="G453">
        <v>1</v>
      </c>
      <c r="H453" s="2" t="s">
        <v>13</v>
      </c>
      <c r="I453">
        <v>1</v>
      </c>
      <c r="J453" s="2" t="s">
        <v>16</v>
      </c>
      <c r="K453">
        <v>1</v>
      </c>
      <c r="L453" s="2" t="s">
        <v>22</v>
      </c>
      <c r="M453">
        <v>1</v>
      </c>
      <c r="N453" s="2" t="s">
        <v>37</v>
      </c>
      <c r="O453">
        <v>1</v>
      </c>
    </row>
    <row r="454" spans="1:15" x14ac:dyDescent="0.35">
      <c r="A454" s="2" t="s">
        <v>156</v>
      </c>
      <c r="B454" s="2" t="s">
        <v>56</v>
      </c>
      <c r="C454" s="2" t="s">
        <v>50</v>
      </c>
      <c r="D454" s="2" t="s">
        <v>231</v>
      </c>
      <c r="E454">
        <v>2017</v>
      </c>
      <c r="F454" s="2" t="s">
        <v>6</v>
      </c>
      <c r="G454">
        <v>1</v>
      </c>
      <c r="H454" s="2" t="s">
        <v>13</v>
      </c>
      <c r="I454">
        <v>1</v>
      </c>
      <c r="J454" s="2" t="s">
        <v>16</v>
      </c>
      <c r="K454">
        <v>1</v>
      </c>
      <c r="L454" s="2" t="s">
        <v>22</v>
      </c>
      <c r="M454">
        <v>1</v>
      </c>
      <c r="N454" s="2" t="s">
        <v>38</v>
      </c>
      <c r="O454">
        <v>1</v>
      </c>
    </row>
    <row r="455" spans="1:15" x14ac:dyDescent="0.35">
      <c r="A455" s="2" t="s">
        <v>156</v>
      </c>
      <c r="B455" s="2" t="s">
        <v>56</v>
      </c>
      <c r="C455" s="2" t="s">
        <v>50</v>
      </c>
      <c r="D455" s="2" t="s">
        <v>231</v>
      </c>
      <c r="E455">
        <v>2017</v>
      </c>
      <c r="F455" s="2" t="s">
        <v>6</v>
      </c>
      <c r="G455">
        <v>1</v>
      </c>
      <c r="H455" s="2" t="s">
        <v>13</v>
      </c>
      <c r="I455">
        <v>1</v>
      </c>
      <c r="J455" s="2" t="s">
        <v>16</v>
      </c>
      <c r="K455">
        <v>1</v>
      </c>
      <c r="L455" s="2" t="s">
        <v>22</v>
      </c>
      <c r="M455">
        <v>1</v>
      </c>
      <c r="N455" s="2" t="s">
        <v>46</v>
      </c>
      <c r="O455">
        <v>1</v>
      </c>
    </row>
    <row r="456" spans="1:15" x14ac:dyDescent="0.35">
      <c r="A456" s="2" t="s">
        <v>156</v>
      </c>
      <c r="B456" s="2" t="s">
        <v>56</v>
      </c>
      <c r="C456" s="2" t="s">
        <v>50</v>
      </c>
      <c r="D456" s="2" t="s">
        <v>231</v>
      </c>
      <c r="E456">
        <v>2017</v>
      </c>
      <c r="F456" s="2" t="s">
        <v>6</v>
      </c>
      <c r="G456">
        <v>1</v>
      </c>
      <c r="H456" s="2" t="s">
        <v>13</v>
      </c>
      <c r="I456">
        <v>1</v>
      </c>
      <c r="J456" s="2" t="s">
        <v>16</v>
      </c>
      <c r="K456">
        <v>1</v>
      </c>
      <c r="L456" s="2" t="s">
        <v>24</v>
      </c>
      <c r="M456">
        <v>1</v>
      </c>
      <c r="N456" s="2" t="s">
        <v>37</v>
      </c>
      <c r="O456">
        <v>1</v>
      </c>
    </row>
    <row r="457" spans="1:15" x14ac:dyDescent="0.35">
      <c r="A457" s="2" t="s">
        <v>156</v>
      </c>
      <c r="B457" s="2" t="s">
        <v>56</v>
      </c>
      <c r="C457" s="2" t="s">
        <v>50</v>
      </c>
      <c r="D457" s="2" t="s">
        <v>231</v>
      </c>
      <c r="E457">
        <v>2017</v>
      </c>
      <c r="F457" s="2" t="s">
        <v>6</v>
      </c>
      <c r="G457">
        <v>1</v>
      </c>
      <c r="H457" s="2" t="s">
        <v>13</v>
      </c>
      <c r="I457">
        <v>1</v>
      </c>
      <c r="J457" s="2" t="s">
        <v>16</v>
      </c>
      <c r="K457">
        <v>1</v>
      </c>
      <c r="L457" s="2" t="s">
        <v>24</v>
      </c>
      <c r="M457">
        <v>1</v>
      </c>
      <c r="N457" s="2" t="s">
        <v>38</v>
      </c>
      <c r="O457">
        <v>1</v>
      </c>
    </row>
    <row r="458" spans="1:15" x14ac:dyDescent="0.35">
      <c r="A458" s="2" t="s">
        <v>156</v>
      </c>
      <c r="B458" s="2" t="s">
        <v>56</v>
      </c>
      <c r="C458" s="2" t="s">
        <v>50</v>
      </c>
      <c r="D458" s="2" t="s">
        <v>231</v>
      </c>
      <c r="E458">
        <v>2017</v>
      </c>
      <c r="F458" s="2" t="s">
        <v>6</v>
      </c>
      <c r="G458">
        <v>1</v>
      </c>
      <c r="H458" s="2" t="s">
        <v>13</v>
      </c>
      <c r="I458">
        <v>1</v>
      </c>
      <c r="J458" s="2" t="s">
        <v>16</v>
      </c>
      <c r="K458">
        <v>1</v>
      </c>
      <c r="L458" s="2" t="s">
        <v>24</v>
      </c>
      <c r="M458">
        <v>1</v>
      </c>
      <c r="N458" s="2" t="s">
        <v>46</v>
      </c>
      <c r="O458">
        <v>1</v>
      </c>
    </row>
    <row r="459" spans="1:15" x14ac:dyDescent="0.35">
      <c r="A459" s="2" t="s">
        <v>165</v>
      </c>
      <c r="B459" s="2" t="s">
        <v>49</v>
      </c>
      <c r="C459" s="2" t="s">
        <v>50</v>
      </c>
      <c r="D459" s="2" t="s">
        <v>231</v>
      </c>
      <c r="E459">
        <v>2020</v>
      </c>
      <c r="F459" s="2" t="s">
        <v>6</v>
      </c>
      <c r="G459">
        <v>1</v>
      </c>
      <c r="H459" s="2" t="s">
        <v>13</v>
      </c>
      <c r="I459">
        <v>1</v>
      </c>
      <c r="J459" s="2" t="s">
        <v>15</v>
      </c>
      <c r="K459">
        <v>1</v>
      </c>
      <c r="L459" s="2" t="s">
        <v>19</v>
      </c>
      <c r="M459">
        <v>1</v>
      </c>
      <c r="N459" s="2" t="s">
        <v>35</v>
      </c>
      <c r="O459">
        <v>1</v>
      </c>
    </row>
    <row r="460" spans="1:15" x14ac:dyDescent="0.35">
      <c r="A460" s="2" t="s">
        <v>165</v>
      </c>
      <c r="B460" s="2" t="s">
        <v>49</v>
      </c>
      <c r="C460" s="2" t="s">
        <v>50</v>
      </c>
      <c r="D460" s="2" t="s">
        <v>231</v>
      </c>
      <c r="E460">
        <v>2020</v>
      </c>
      <c r="F460" s="2" t="s">
        <v>6</v>
      </c>
      <c r="G460">
        <v>1</v>
      </c>
      <c r="H460" s="2" t="s">
        <v>13</v>
      </c>
      <c r="I460">
        <v>1</v>
      </c>
      <c r="J460" s="2" t="s">
        <v>15</v>
      </c>
      <c r="K460">
        <v>1</v>
      </c>
      <c r="L460" s="2" t="s">
        <v>19</v>
      </c>
      <c r="M460">
        <v>1</v>
      </c>
      <c r="N460" s="2" t="s">
        <v>38</v>
      </c>
      <c r="O460">
        <v>1</v>
      </c>
    </row>
    <row r="461" spans="1:15" x14ac:dyDescent="0.35">
      <c r="A461" s="2" t="s">
        <v>165</v>
      </c>
      <c r="B461" s="2" t="s">
        <v>49</v>
      </c>
      <c r="C461" s="2" t="s">
        <v>50</v>
      </c>
      <c r="D461" s="2" t="s">
        <v>231</v>
      </c>
      <c r="E461">
        <v>2020</v>
      </c>
      <c r="F461" s="2" t="s">
        <v>6</v>
      </c>
      <c r="G461">
        <v>1</v>
      </c>
      <c r="H461" s="2" t="s">
        <v>13</v>
      </c>
      <c r="I461">
        <v>1</v>
      </c>
      <c r="J461" s="2" t="s">
        <v>15</v>
      </c>
      <c r="K461">
        <v>1</v>
      </c>
      <c r="L461" s="2" t="s">
        <v>19</v>
      </c>
      <c r="M461">
        <v>1</v>
      </c>
      <c r="N461" s="2" t="s">
        <v>45</v>
      </c>
      <c r="O461">
        <v>1</v>
      </c>
    </row>
    <row r="462" spans="1:15" x14ac:dyDescent="0.35">
      <c r="A462" s="2" t="s">
        <v>165</v>
      </c>
      <c r="B462" s="2" t="s">
        <v>49</v>
      </c>
      <c r="C462" s="2" t="s">
        <v>50</v>
      </c>
      <c r="D462" s="2" t="s">
        <v>231</v>
      </c>
      <c r="E462">
        <v>2020</v>
      </c>
      <c r="F462" s="2" t="s">
        <v>6</v>
      </c>
      <c r="G462">
        <v>1</v>
      </c>
      <c r="H462" s="2" t="s">
        <v>13</v>
      </c>
      <c r="I462">
        <v>1</v>
      </c>
      <c r="J462" s="2" t="s">
        <v>16</v>
      </c>
      <c r="K462">
        <v>1</v>
      </c>
      <c r="L462" s="2" t="s">
        <v>19</v>
      </c>
      <c r="M462">
        <v>1</v>
      </c>
      <c r="N462" s="2" t="s">
        <v>35</v>
      </c>
      <c r="O462">
        <v>1</v>
      </c>
    </row>
    <row r="463" spans="1:15" x14ac:dyDescent="0.35">
      <c r="A463" s="2" t="s">
        <v>165</v>
      </c>
      <c r="B463" s="2" t="s">
        <v>49</v>
      </c>
      <c r="C463" s="2" t="s">
        <v>50</v>
      </c>
      <c r="D463" s="2" t="s">
        <v>231</v>
      </c>
      <c r="E463">
        <v>2020</v>
      </c>
      <c r="F463" s="2" t="s">
        <v>6</v>
      </c>
      <c r="G463">
        <v>1</v>
      </c>
      <c r="H463" s="2" t="s">
        <v>13</v>
      </c>
      <c r="I463">
        <v>1</v>
      </c>
      <c r="J463" s="2" t="s">
        <v>16</v>
      </c>
      <c r="K463">
        <v>1</v>
      </c>
      <c r="L463" s="2" t="s">
        <v>19</v>
      </c>
      <c r="M463">
        <v>1</v>
      </c>
      <c r="N463" s="2" t="s">
        <v>38</v>
      </c>
      <c r="O463">
        <v>1</v>
      </c>
    </row>
    <row r="464" spans="1:15" x14ac:dyDescent="0.35">
      <c r="A464" s="2" t="s">
        <v>165</v>
      </c>
      <c r="B464" s="2" t="s">
        <v>49</v>
      </c>
      <c r="C464" s="2" t="s">
        <v>50</v>
      </c>
      <c r="D464" s="2" t="s">
        <v>231</v>
      </c>
      <c r="E464">
        <v>2020</v>
      </c>
      <c r="F464" s="2" t="s">
        <v>6</v>
      </c>
      <c r="G464">
        <v>1</v>
      </c>
      <c r="H464" s="2" t="s">
        <v>13</v>
      </c>
      <c r="I464">
        <v>1</v>
      </c>
      <c r="J464" s="2" t="s">
        <v>16</v>
      </c>
      <c r="K464">
        <v>1</v>
      </c>
      <c r="L464" s="2" t="s">
        <v>19</v>
      </c>
      <c r="M464">
        <v>1</v>
      </c>
      <c r="N464" s="2" t="s">
        <v>45</v>
      </c>
      <c r="O464">
        <v>1</v>
      </c>
    </row>
    <row r="465" spans="1:15" x14ac:dyDescent="0.35">
      <c r="A465" s="2" t="s">
        <v>165</v>
      </c>
      <c r="B465" s="2" t="s">
        <v>49</v>
      </c>
      <c r="C465" s="2" t="s">
        <v>50</v>
      </c>
      <c r="D465" s="2" t="s">
        <v>231</v>
      </c>
      <c r="E465">
        <v>2020</v>
      </c>
      <c r="F465" s="2" t="s">
        <v>6</v>
      </c>
      <c r="G465">
        <v>1</v>
      </c>
      <c r="H465" s="2" t="s">
        <v>13</v>
      </c>
      <c r="I465">
        <v>1</v>
      </c>
      <c r="J465" s="2" t="s">
        <v>17</v>
      </c>
      <c r="K465">
        <v>1</v>
      </c>
      <c r="L465" s="2" t="s">
        <v>19</v>
      </c>
      <c r="M465">
        <v>1</v>
      </c>
      <c r="N465" s="2" t="s">
        <v>35</v>
      </c>
      <c r="O465">
        <v>1</v>
      </c>
    </row>
    <row r="466" spans="1:15" x14ac:dyDescent="0.35">
      <c r="A466" s="2" t="s">
        <v>165</v>
      </c>
      <c r="B466" s="2" t="s">
        <v>49</v>
      </c>
      <c r="C466" s="2" t="s">
        <v>50</v>
      </c>
      <c r="D466" s="2" t="s">
        <v>231</v>
      </c>
      <c r="E466">
        <v>2020</v>
      </c>
      <c r="F466" s="2" t="s">
        <v>6</v>
      </c>
      <c r="G466">
        <v>1</v>
      </c>
      <c r="H466" s="2" t="s">
        <v>13</v>
      </c>
      <c r="I466">
        <v>1</v>
      </c>
      <c r="J466" s="2" t="s">
        <v>17</v>
      </c>
      <c r="K466">
        <v>1</v>
      </c>
      <c r="L466" s="2" t="s">
        <v>19</v>
      </c>
      <c r="M466">
        <v>1</v>
      </c>
      <c r="N466" s="2" t="s">
        <v>38</v>
      </c>
      <c r="O466">
        <v>1</v>
      </c>
    </row>
    <row r="467" spans="1:15" x14ac:dyDescent="0.35">
      <c r="A467" s="2" t="s">
        <v>165</v>
      </c>
      <c r="B467" s="2" t="s">
        <v>49</v>
      </c>
      <c r="C467" s="2" t="s">
        <v>50</v>
      </c>
      <c r="D467" s="2" t="s">
        <v>231</v>
      </c>
      <c r="E467">
        <v>2020</v>
      </c>
      <c r="F467" s="2" t="s">
        <v>6</v>
      </c>
      <c r="G467">
        <v>1</v>
      </c>
      <c r="H467" s="2" t="s">
        <v>13</v>
      </c>
      <c r="I467">
        <v>1</v>
      </c>
      <c r="J467" s="2" t="s">
        <v>17</v>
      </c>
      <c r="K467">
        <v>1</v>
      </c>
      <c r="L467" s="2" t="s">
        <v>19</v>
      </c>
      <c r="M467">
        <v>1</v>
      </c>
      <c r="N467" s="2" t="s">
        <v>45</v>
      </c>
      <c r="O467">
        <v>1</v>
      </c>
    </row>
    <row r="468" spans="1:15" x14ac:dyDescent="0.35">
      <c r="A468" s="2" t="s">
        <v>169</v>
      </c>
      <c r="B468" s="2" t="s">
        <v>56</v>
      </c>
      <c r="C468" s="2" t="s">
        <v>50</v>
      </c>
      <c r="D468" s="2" t="s">
        <v>231</v>
      </c>
      <c r="E468">
        <v>2021</v>
      </c>
      <c r="F468" s="2" t="s">
        <v>6</v>
      </c>
      <c r="G468">
        <v>1</v>
      </c>
      <c r="H468" s="2" t="s">
        <v>13</v>
      </c>
      <c r="I468">
        <v>1</v>
      </c>
      <c r="J468" s="2" t="s">
        <v>15</v>
      </c>
      <c r="K468">
        <v>1</v>
      </c>
      <c r="L468" s="2" t="s">
        <v>24</v>
      </c>
      <c r="M468">
        <v>1</v>
      </c>
      <c r="N468" s="2" t="s">
        <v>37</v>
      </c>
      <c r="O468">
        <v>1</v>
      </c>
    </row>
    <row r="469" spans="1:15" x14ac:dyDescent="0.35">
      <c r="A469" s="2" t="s">
        <v>169</v>
      </c>
      <c r="B469" s="2" t="s">
        <v>56</v>
      </c>
      <c r="C469" s="2" t="s">
        <v>50</v>
      </c>
      <c r="D469" s="2" t="s">
        <v>231</v>
      </c>
      <c r="E469">
        <v>2021</v>
      </c>
      <c r="F469" s="2" t="s">
        <v>6</v>
      </c>
      <c r="G469">
        <v>1</v>
      </c>
      <c r="H469" s="2" t="s">
        <v>13</v>
      </c>
      <c r="I469">
        <v>1</v>
      </c>
      <c r="J469" s="2" t="s">
        <v>15</v>
      </c>
      <c r="K469">
        <v>1</v>
      </c>
      <c r="L469" s="2" t="s">
        <v>24</v>
      </c>
      <c r="M469">
        <v>1</v>
      </c>
      <c r="N469" s="2" t="s">
        <v>38</v>
      </c>
      <c r="O469">
        <v>1</v>
      </c>
    </row>
    <row r="470" spans="1:15" x14ac:dyDescent="0.35">
      <c r="A470" s="2" t="s">
        <v>169</v>
      </c>
      <c r="B470" s="2" t="s">
        <v>56</v>
      </c>
      <c r="C470" s="2" t="s">
        <v>50</v>
      </c>
      <c r="D470" s="2" t="s">
        <v>231</v>
      </c>
      <c r="E470">
        <v>2021</v>
      </c>
      <c r="F470" s="2" t="s">
        <v>6</v>
      </c>
      <c r="G470">
        <v>1</v>
      </c>
      <c r="H470" s="2" t="s">
        <v>13</v>
      </c>
      <c r="I470">
        <v>1</v>
      </c>
      <c r="J470" s="2" t="s">
        <v>15</v>
      </c>
      <c r="K470">
        <v>1</v>
      </c>
      <c r="L470" s="2" t="s">
        <v>24</v>
      </c>
      <c r="M470">
        <v>1</v>
      </c>
      <c r="N470" s="2" t="s">
        <v>39</v>
      </c>
      <c r="O470">
        <v>1</v>
      </c>
    </row>
    <row r="471" spans="1:15" x14ac:dyDescent="0.35">
      <c r="A471" s="2" t="s">
        <v>169</v>
      </c>
      <c r="B471" s="2" t="s">
        <v>56</v>
      </c>
      <c r="C471" s="2" t="s">
        <v>50</v>
      </c>
      <c r="D471" s="2" t="s">
        <v>231</v>
      </c>
      <c r="E471">
        <v>2021</v>
      </c>
      <c r="F471" s="2" t="s">
        <v>6</v>
      </c>
      <c r="G471">
        <v>1</v>
      </c>
      <c r="H471" s="2" t="s">
        <v>13</v>
      </c>
      <c r="I471">
        <v>1</v>
      </c>
      <c r="J471" s="2" t="s">
        <v>15</v>
      </c>
      <c r="K471">
        <v>1</v>
      </c>
      <c r="L471" s="2" t="s">
        <v>24</v>
      </c>
      <c r="M471">
        <v>1</v>
      </c>
      <c r="N471" s="2" t="s">
        <v>40</v>
      </c>
      <c r="O471">
        <v>1</v>
      </c>
    </row>
    <row r="472" spans="1:15" x14ac:dyDescent="0.35">
      <c r="A472" s="2" t="s">
        <v>169</v>
      </c>
      <c r="B472" s="2" t="s">
        <v>56</v>
      </c>
      <c r="C472" s="2" t="s">
        <v>50</v>
      </c>
      <c r="D472" s="2" t="s">
        <v>231</v>
      </c>
      <c r="E472">
        <v>2021</v>
      </c>
      <c r="F472" s="2" t="s">
        <v>6</v>
      </c>
      <c r="G472">
        <v>1</v>
      </c>
      <c r="H472" s="2" t="s">
        <v>13</v>
      </c>
      <c r="I472">
        <v>1</v>
      </c>
      <c r="J472" s="2" t="s">
        <v>16</v>
      </c>
      <c r="K472">
        <v>1</v>
      </c>
      <c r="L472" s="2" t="s">
        <v>24</v>
      </c>
      <c r="M472">
        <v>1</v>
      </c>
      <c r="N472" s="2" t="s">
        <v>37</v>
      </c>
      <c r="O472">
        <v>1</v>
      </c>
    </row>
    <row r="473" spans="1:15" x14ac:dyDescent="0.35">
      <c r="A473" s="2" t="s">
        <v>169</v>
      </c>
      <c r="B473" s="2" t="s">
        <v>56</v>
      </c>
      <c r="C473" s="2" t="s">
        <v>50</v>
      </c>
      <c r="D473" s="2" t="s">
        <v>231</v>
      </c>
      <c r="E473">
        <v>2021</v>
      </c>
      <c r="F473" s="2" t="s">
        <v>6</v>
      </c>
      <c r="G473">
        <v>1</v>
      </c>
      <c r="H473" s="2" t="s">
        <v>13</v>
      </c>
      <c r="I473">
        <v>1</v>
      </c>
      <c r="J473" s="2" t="s">
        <v>16</v>
      </c>
      <c r="K473">
        <v>1</v>
      </c>
      <c r="L473" s="2" t="s">
        <v>24</v>
      </c>
      <c r="M473">
        <v>1</v>
      </c>
      <c r="N473" s="2" t="s">
        <v>38</v>
      </c>
      <c r="O473">
        <v>1</v>
      </c>
    </row>
    <row r="474" spans="1:15" x14ac:dyDescent="0.35">
      <c r="A474" s="2" t="s">
        <v>169</v>
      </c>
      <c r="B474" s="2" t="s">
        <v>56</v>
      </c>
      <c r="C474" s="2" t="s">
        <v>50</v>
      </c>
      <c r="D474" s="2" t="s">
        <v>231</v>
      </c>
      <c r="E474">
        <v>2021</v>
      </c>
      <c r="F474" s="2" t="s">
        <v>6</v>
      </c>
      <c r="G474">
        <v>1</v>
      </c>
      <c r="H474" s="2" t="s">
        <v>13</v>
      </c>
      <c r="I474">
        <v>1</v>
      </c>
      <c r="J474" s="2" t="s">
        <v>16</v>
      </c>
      <c r="K474">
        <v>1</v>
      </c>
      <c r="L474" s="2" t="s">
        <v>24</v>
      </c>
      <c r="M474">
        <v>1</v>
      </c>
      <c r="N474" s="2" t="s">
        <v>39</v>
      </c>
      <c r="O474">
        <v>1</v>
      </c>
    </row>
    <row r="475" spans="1:15" x14ac:dyDescent="0.35">
      <c r="A475" s="2" t="s">
        <v>169</v>
      </c>
      <c r="B475" s="2" t="s">
        <v>56</v>
      </c>
      <c r="C475" s="2" t="s">
        <v>50</v>
      </c>
      <c r="D475" s="2" t="s">
        <v>231</v>
      </c>
      <c r="E475">
        <v>2021</v>
      </c>
      <c r="F475" s="2" t="s">
        <v>6</v>
      </c>
      <c r="G475">
        <v>1</v>
      </c>
      <c r="H475" s="2" t="s">
        <v>13</v>
      </c>
      <c r="I475">
        <v>1</v>
      </c>
      <c r="J475" s="2" t="s">
        <v>16</v>
      </c>
      <c r="K475">
        <v>1</v>
      </c>
      <c r="L475" s="2" t="s">
        <v>24</v>
      </c>
      <c r="M475">
        <v>1</v>
      </c>
      <c r="N475" s="2" t="s">
        <v>40</v>
      </c>
      <c r="O475">
        <v>1</v>
      </c>
    </row>
    <row r="476" spans="1:15" x14ac:dyDescent="0.35">
      <c r="A476" s="2" t="s">
        <v>173</v>
      </c>
      <c r="B476" s="2" t="s">
        <v>49</v>
      </c>
      <c r="C476" s="2" t="s">
        <v>50</v>
      </c>
      <c r="D476" s="2" t="s">
        <v>231</v>
      </c>
      <c r="E476">
        <v>2021</v>
      </c>
      <c r="F476" s="2" t="s">
        <v>6</v>
      </c>
      <c r="G476">
        <v>1</v>
      </c>
      <c r="H476" s="2" t="s">
        <v>13</v>
      </c>
      <c r="I476">
        <v>1</v>
      </c>
      <c r="J476" s="2" t="s">
        <v>14</v>
      </c>
      <c r="K476">
        <v>1</v>
      </c>
      <c r="L476" s="2" t="s">
        <v>24</v>
      </c>
      <c r="M476">
        <v>1</v>
      </c>
      <c r="N476" s="2" t="s">
        <v>33</v>
      </c>
      <c r="O476">
        <v>1</v>
      </c>
    </row>
    <row r="477" spans="1:15" x14ac:dyDescent="0.35">
      <c r="A477" s="2" t="s">
        <v>173</v>
      </c>
      <c r="B477" s="2" t="s">
        <v>49</v>
      </c>
      <c r="C477" s="2" t="s">
        <v>50</v>
      </c>
      <c r="D477" s="2" t="s">
        <v>231</v>
      </c>
      <c r="E477">
        <v>2021</v>
      </c>
      <c r="F477" s="2" t="s">
        <v>6</v>
      </c>
      <c r="G477">
        <v>1</v>
      </c>
      <c r="H477" s="2" t="s">
        <v>13</v>
      </c>
      <c r="I477">
        <v>1</v>
      </c>
      <c r="J477" s="2" t="s">
        <v>14</v>
      </c>
      <c r="K477">
        <v>1</v>
      </c>
      <c r="L477" s="2" t="s">
        <v>24</v>
      </c>
      <c r="M477">
        <v>1</v>
      </c>
      <c r="N477" s="2" t="s">
        <v>37</v>
      </c>
      <c r="O477">
        <v>1</v>
      </c>
    </row>
    <row r="478" spans="1:15" x14ac:dyDescent="0.35">
      <c r="A478" s="2" t="s">
        <v>173</v>
      </c>
      <c r="B478" s="2" t="s">
        <v>49</v>
      </c>
      <c r="C478" s="2" t="s">
        <v>50</v>
      </c>
      <c r="D478" s="2" t="s">
        <v>231</v>
      </c>
      <c r="E478">
        <v>2021</v>
      </c>
      <c r="F478" s="2" t="s">
        <v>6</v>
      </c>
      <c r="G478">
        <v>1</v>
      </c>
      <c r="H478" s="2" t="s">
        <v>13</v>
      </c>
      <c r="I478">
        <v>1</v>
      </c>
      <c r="J478" s="2" t="s">
        <v>14</v>
      </c>
      <c r="K478">
        <v>1</v>
      </c>
      <c r="L478" s="2" t="s">
        <v>24</v>
      </c>
      <c r="M478">
        <v>1</v>
      </c>
      <c r="N478" s="2" t="s">
        <v>38</v>
      </c>
      <c r="O478">
        <v>1</v>
      </c>
    </row>
    <row r="479" spans="1:15" x14ac:dyDescent="0.35">
      <c r="A479" s="2" t="s">
        <v>173</v>
      </c>
      <c r="B479" s="2" t="s">
        <v>49</v>
      </c>
      <c r="C479" s="2" t="s">
        <v>50</v>
      </c>
      <c r="D479" s="2" t="s">
        <v>231</v>
      </c>
      <c r="E479">
        <v>2021</v>
      </c>
      <c r="F479" s="2" t="s">
        <v>6</v>
      </c>
      <c r="G479">
        <v>1</v>
      </c>
      <c r="H479" s="2" t="s">
        <v>13</v>
      </c>
      <c r="I479">
        <v>1</v>
      </c>
      <c r="J479" s="2" t="s">
        <v>15</v>
      </c>
      <c r="K479">
        <v>1</v>
      </c>
      <c r="L479" s="2" t="s">
        <v>24</v>
      </c>
      <c r="M479">
        <v>1</v>
      </c>
      <c r="N479" s="2" t="s">
        <v>33</v>
      </c>
      <c r="O479">
        <v>1</v>
      </c>
    </row>
    <row r="480" spans="1:15" x14ac:dyDescent="0.35">
      <c r="A480" s="2" t="s">
        <v>173</v>
      </c>
      <c r="B480" s="2" t="s">
        <v>49</v>
      </c>
      <c r="C480" s="2" t="s">
        <v>50</v>
      </c>
      <c r="D480" s="2" t="s">
        <v>231</v>
      </c>
      <c r="E480">
        <v>2021</v>
      </c>
      <c r="F480" s="2" t="s">
        <v>6</v>
      </c>
      <c r="G480">
        <v>1</v>
      </c>
      <c r="H480" s="2" t="s">
        <v>13</v>
      </c>
      <c r="I480">
        <v>1</v>
      </c>
      <c r="J480" s="2" t="s">
        <v>15</v>
      </c>
      <c r="K480">
        <v>1</v>
      </c>
      <c r="L480" s="2" t="s">
        <v>24</v>
      </c>
      <c r="M480">
        <v>1</v>
      </c>
      <c r="N480" s="2" t="s">
        <v>37</v>
      </c>
      <c r="O480">
        <v>1</v>
      </c>
    </row>
    <row r="481" spans="1:15" x14ac:dyDescent="0.35">
      <c r="A481" s="2" t="s">
        <v>173</v>
      </c>
      <c r="B481" s="2" t="s">
        <v>49</v>
      </c>
      <c r="C481" s="2" t="s">
        <v>50</v>
      </c>
      <c r="D481" s="2" t="s">
        <v>231</v>
      </c>
      <c r="E481">
        <v>2021</v>
      </c>
      <c r="F481" s="2" t="s">
        <v>6</v>
      </c>
      <c r="G481">
        <v>1</v>
      </c>
      <c r="H481" s="2" t="s">
        <v>13</v>
      </c>
      <c r="I481">
        <v>1</v>
      </c>
      <c r="J481" s="2" t="s">
        <v>15</v>
      </c>
      <c r="K481">
        <v>1</v>
      </c>
      <c r="L481" s="2" t="s">
        <v>24</v>
      </c>
      <c r="M481">
        <v>1</v>
      </c>
      <c r="N481" s="2" t="s">
        <v>38</v>
      </c>
      <c r="O481">
        <v>1</v>
      </c>
    </row>
    <row r="482" spans="1:15" x14ac:dyDescent="0.35">
      <c r="A482" s="2" t="s">
        <v>174</v>
      </c>
      <c r="B482" s="2" t="s">
        <v>56</v>
      </c>
      <c r="C482" s="2" t="s">
        <v>50</v>
      </c>
      <c r="D482" s="2" t="s">
        <v>231</v>
      </c>
      <c r="E482">
        <v>2015</v>
      </c>
      <c r="F482" s="2" t="s">
        <v>6</v>
      </c>
      <c r="G482">
        <v>1</v>
      </c>
      <c r="H482" s="2" t="s">
        <v>13</v>
      </c>
      <c r="I482">
        <v>1</v>
      </c>
      <c r="J482" s="2" t="s">
        <v>15</v>
      </c>
      <c r="K482">
        <v>1</v>
      </c>
      <c r="L482" s="2" t="s">
        <v>22</v>
      </c>
      <c r="M482">
        <v>1</v>
      </c>
      <c r="N482" s="2" t="s">
        <v>35</v>
      </c>
      <c r="O482">
        <v>1</v>
      </c>
    </row>
    <row r="483" spans="1:15" x14ac:dyDescent="0.35">
      <c r="A483" s="2" t="s">
        <v>174</v>
      </c>
      <c r="B483" s="2" t="s">
        <v>56</v>
      </c>
      <c r="C483" s="2" t="s">
        <v>50</v>
      </c>
      <c r="D483" s="2" t="s">
        <v>231</v>
      </c>
      <c r="E483">
        <v>2015</v>
      </c>
      <c r="F483" s="2" t="s">
        <v>6</v>
      </c>
      <c r="G483">
        <v>1</v>
      </c>
      <c r="H483" s="2" t="s">
        <v>13</v>
      </c>
      <c r="I483">
        <v>1</v>
      </c>
      <c r="J483" s="2" t="s">
        <v>15</v>
      </c>
      <c r="K483">
        <v>1</v>
      </c>
      <c r="L483" s="2" t="s">
        <v>22</v>
      </c>
      <c r="M483">
        <v>1</v>
      </c>
      <c r="N483" s="2" t="s">
        <v>37</v>
      </c>
      <c r="O483">
        <v>1</v>
      </c>
    </row>
    <row r="484" spans="1:15" x14ac:dyDescent="0.35">
      <c r="A484" s="2" t="s">
        <v>174</v>
      </c>
      <c r="B484" s="2" t="s">
        <v>56</v>
      </c>
      <c r="C484" s="2" t="s">
        <v>50</v>
      </c>
      <c r="D484" s="2" t="s">
        <v>231</v>
      </c>
      <c r="E484">
        <v>2015</v>
      </c>
      <c r="F484" s="2" t="s">
        <v>6</v>
      </c>
      <c r="G484">
        <v>1</v>
      </c>
      <c r="H484" s="2" t="s">
        <v>13</v>
      </c>
      <c r="I484">
        <v>1</v>
      </c>
      <c r="J484" s="2" t="s">
        <v>15</v>
      </c>
      <c r="K484">
        <v>1</v>
      </c>
      <c r="L484" s="2" t="s">
        <v>22</v>
      </c>
      <c r="M484">
        <v>1</v>
      </c>
      <c r="N484" s="2" t="s">
        <v>41</v>
      </c>
      <c r="O484">
        <v>1</v>
      </c>
    </row>
    <row r="485" spans="1:15" x14ac:dyDescent="0.35">
      <c r="A485" s="2" t="s">
        <v>174</v>
      </c>
      <c r="B485" s="2" t="s">
        <v>56</v>
      </c>
      <c r="C485" s="2" t="s">
        <v>50</v>
      </c>
      <c r="D485" s="2" t="s">
        <v>231</v>
      </c>
      <c r="E485">
        <v>2015</v>
      </c>
      <c r="F485" s="2" t="s">
        <v>6</v>
      </c>
      <c r="G485">
        <v>1</v>
      </c>
      <c r="H485" s="2" t="s">
        <v>13</v>
      </c>
      <c r="I485">
        <v>1</v>
      </c>
      <c r="J485" s="2" t="s">
        <v>15</v>
      </c>
      <c r="K485">
        <v>1</v>
      </c>
      <c r="L485" s="2" t="s">
        <v>22</v>
      </c>
      <c r="M485">
        <v>1</v>
      </c>
      <c r="N485" s="2" t="s">
        <v>42</v>
      </c>
      <c r="O485">
        <v>1</v>
      </c>
    </row>
    <row r="486" spans="1:15" x14ac:dyDescent="0.35">
      <c r="A486" s="2" t="s">
        <v>174</v>
      </c>
      <c r="B486" s="2" t="s">
        <v>56</v>
      </c>
      <c r="C486" s="2" t="s">
        <v>50</v>
      </c>
      <c r="D486" s="2" t="s">
        <v>231</v>
      </c>
      <c r="E486">
        <v>2015</v>
      </c>
      <c r="F486" s="2" t="s">
        <v>6</v>
      </c>
      <c r="G486">
        <v>1</v>
      </c>
      <c r="H486" s="2" t="s">
        <v>13</v>
      </c>
      <c r="I486">
        <v>1</v>
      </c>
      <c r="J486" s="2" t="s">
        <v>15</v>
      </c>
      <c r="K486">
        <v>1</v>
      </c>
      <c r="L486" s="2" t="s">
        <v>22</v>
      </c>
      <c r="M486">
        <v>1</v>
      </c>
      <c r="N486" s="2" t="s">
        <v>44</v>
      </c>
      <c r="O486">
        <v>1</v>
      </c>
    </row>
    <row r="487" spans="1:15" x14ac:dyDescent="0.35">
      <c r="A487" s="2" t="s">
        <v>174</v>
      </c>
      <c r="B487" s="2" t="s">
        <v>56</v>
      </c>
      <c r="C487" s="2" t="s">
        <v>50</v>
      </c>
      <c r="D487" s="2" t="s">
        <v>231</v>
      </c>
      <c r="E487">
        <v>2015</v>
      </c>
      <c r="F487" s="2" t="s">
        <v>6</v>
      </c>
      <c r="G487">
        <v>1</v>
      </c>
      <c r="H487" s="2" t="s">
        <v>13</v>
      </c>
      <c r="I487">
        <v>1</v>
      </c>
      <c r="J487" s="2" t="s">
        <v>15</v>
      </c>
      <c r="K487">
        <v>1</v>
      </c>
      <c r="L487" s="2" t="s">
        <v>22</v>
      </c>
      <c r="M487">
        <v>1</v>
      </c>
      <c r="N487" s="2" t="s">
        <v>46</v>
      </c>
      <c r="O487">
        <v>1</v>
      </c>
    </row>
    <row r="488" spans="1:15" x14ac:dyDescent="0.35">
      <c r="A488" s="2" t="s">
        <v>174</v>
      </c>
      <c r="B488" s="2" t="s">
        <v>56</v>
      </c>
      <c r="C488" s="2" t="s">
        <v>50</v>
      </c>
      <c r="D488" s="2" t="s">
        <v>231</v>
      </c>
      <c r="E488">
        <v>2015</v>
      </c>
      <c r="F488" s="2" t="s">
        <v>6</v>
      </c>
      <c r="G488">
        <v>1</v>
      </c>
      <c r="H488" s="2" t="s">
        <v>13</v>
      </c>
      <c r="I488">
        <v>1</v>
      </c>
      <c r="J488" s="2" t="s">
        <v>15</v>
      </c>
      <c r="K488">
        <v>1</v>
      </c>
      <c r="L488" s="2" t="s">
        <v>24</v>
      </c>
      <c r="M488">
        <v>1</v>
      </c>
      <c r="N488" s="2" t="s">
        <v>35</v>
      </c>
      <c r="O488">
        <v>1</v>
      </c>
    </row>
    <row r="489" spans="1:15" x14ac:dyDescent="0.35">
      <c r="A489" s="2" t="s">
        <v>174</v>
      </c>
      <c r="B489" s="2" t="s">
        <v>56</v>
      </c>
      <c r="C489" s="2" t="s">
        <v>50</v>
      </c>
      <c r="D489" s="2" t="s">
        <v>231</v>
      </c>
      <c r="E489">
        <v>2015</v>
      </c>
      <c r="F489" s="2" t="s">
        <v>6</v>
      </c>
      <c r="G489">
        <v>1</v>
      </c>
      <c r="H489" s="2" t="s">
        <v>13</v>
      </c>
      <c r="I489">
        <v>1</v>
      </c>
      <c r="J489" s="2" t="s">
        <v>15</v>
      </c>
      <c r="K489">
        <v>1</v>
      </c>
      <c r="L489" s="2" t="s">
        <v>24</v>
      </c>
      <c r="M489">
        <v>1</v>
      </c>
      <c r="N489" s="2" t="s">
        <v>37</v>
      </c>
      <c r="O489">
        <v>1</v>
      </c>
    </row>
    <row r="490" spans="1:15" x14ac:dyDescent="0.35">
      <c r="A490" s="2" t="s">
        <v>174</v>
      </c>
      <c r="B490" s="2" t="s">
        <v>56</v>
      </c>
      <c r="C490" s="2" t="s">
        <v>50</v>
      </c>
      <c r="D490" s="2" t="s">
        <v>231</v>
      </c>
      <c r="E490">
        <v>2015</v>
      </c>
      <c r="F490" s="2" t="s">
        <v>6</v>
      </c>
      <c r="G490">
        <v>1</v>
      </c>
      <c r="H490" s="2" t="s">
        <v>13</v>
      </c>
      <c r="I490">
        <v>1</v>
      </c>
      <c r="J490" s="2" t="s">
        <v>15</v>
      </c>
      <c r="K490">
        <v>1</v>
      </c>
      <c r="L490" s="2" t="s">
        <v>24</v>
      </c>
      <c r="M490">
        <v>1</v>
      </c>
      <c r="N490" s="2" t="s">
        <v>41</v>
      </c>
      <c r="O490">
        <v>1</v>
      </c>
    </row>
    <row r="491" spans="1:15" x14ac:dyDescent="0.35">
      <c r="A491" s="2" t="s">
        <v>174</v>
      </c>
      <c r="B491" s="2" t="s">
        <v>56</v>
      </c>
      <c r="C491" s="2" t="s">
        <v>50</v>
      </c>
      <c r="D491" s="2" t="s">
        <v>231</v>
      </c>
      <c r="E491">
        <v>2015</v>
      </c>
      <c r="F491" s="2" t="s">
        <v>6</v>
      </c>
      <c r="G491">
        <v>1</v>
      </c>
      <c r="H491" s="2" t="s">
        <v>13</v>
      </c>
      <c r="I491">
        <v>1</v>
      </c>
      <c r="J491" s="2" t="s">
        <v>15</v>
      </c>
      <c r="K491">
        <v>1</v>
      </c>
      <c r="L491" s="2" t="s">
        <v>24</v>
      </c>
      <c r="M491">
        <v>1</v>
      </c>
      <c r="N491" s="2" t="s">
        <v>42</v>
      </c>
      <c r="O491">
        <v>1</v>
      </c>
    </row>
    <row r="492" spans="1:15" x14ac:dyDescent="0.35">
      <c r="A492" s="2" t="s">
        <v>174</v>
      </c>
      <c r="B492" s="2" t="s">
        <v>56</v>
      </c>
      <c r="C492" s="2" t="s">
        <v>50</v>
      </c>
      <c r="D492" s="2" t="s">
        <v>231</v>
      </c>
      <c r="E492">
        <v>2015</v>
      </c>
      <c r="F492" s="2" t="s">
        <v>6</v>
      </c>
      <c r="G492">
        <v>1</v>
      </c>
      <c r="H492" s="2" t="s">
        <v>13</v>
      </c>
      <c r="I492">
        <v>1</v>
      </c>
      <c r="J492" s="2" t="s">
        <v>15</v>
      </c>
      <c r="K492">
        <v>1</v>
      </c>
      <c r="L492" s="2" t="s">
        <v>24</v>
      </c>
      <c r="M492">
        <v>1</v>
      </c>
      <c r="N492" s="2" t="s">
        <v>44</v>
      </c>
      <c r="O492">
        <v>1</v>
      </c>
    </row>
    <row r="493" spans="1:15" x14ac:dyDescent="0.35">
      <c r="A493" s="2" t="s">
        <v>174</v>
      </c>
      <c r="B493" s="2" t="s">
        <v>56</v>
      </c>
      <c r="C493" s="2" t="s">
        <v>50</v>
      </c>
      <c r="D493" s="2" t="s">
        <v>231</v>
      </c>
      <c r="E493">
        <v>2015</v>
      </c>
      <c r="F493" s="2" t="s">
        <v>6</v>
      </c>
      <c r="G493">
        <v>1</v>
      </c>
      <c r="H493" s="2" t="s">
        <v>13</v>
      </c>
      <c r="I493">
        <v>1</v>
      </c>
      <c r="J493" s="2" t="s">
        <v>15</v>
      </c>
      <c r="K493">
        <v>1</v>
      </c>
      <c r="L493" s="2" t="s">
        <v>24</v>
      </c>
      <c r="M493">
        <v>1</v>
      </c>
      <c r="N493" s="2" t="s">
        <v>46</v>
      </c>
      <c r="O493">
        <v>1</v>
      </c>
    </row>
    <row r="494" spans="1:15" x14ac:dyDescent="0.35">
      <c r="A494" s="2" t="s">
        <v>174</v>
      </c>
      <c r="B494" s="2" t="s">
        <v>56</v>
      </c>
      <c r="C494" s="2" t="s">
        <v>50</v>
      </c>
      <c r="D494" s="2" t="s">
        <v>231</v>
      </c>
      <c r="E494">
        <v>2015</v>
      </c>
      <c r="F494" s="2" t="s">
        <v>6</v>
      </c>
      <c r="G494">
        <v>1</v>
      </c>
      <c r="H494" s="2" t="s">
        <v>13</v>
      </c>
      <c r="I494">
        <v>1</v>
      </c>
      <c r="J494" s="2" t="s">
        <v>16</v>
      </c>
      <c r="K494">
        <v>1</v>
      </c>
      <c r="L494" s="2" t="s">
        <v>22</v>
      </c>
      <c r="M494">
        <v>1</v>
      </c>
      <c r="N494" s="2" t="s">
        <v>35</v>
      </c>
      <c r="O494">
        <v>1</v>
      </c>
    </row>
    <row r="495" spans="1:15" x14ac:dyDescent="0.35">
      <c r="A495" s="2" t="s">
        <v>174</v>
      </c>
      <c r="B495" s="2" t="s">
        <v>56</v>
      </c>
      <c r="C495" s="2" t="s">
        <v>50</v>
      </c>
      <c r="D495" s="2" t="s">
        <v>231</v>
      </c>
      <c r="E495">
        <v>2015</v>
      </c>
      <c r="F495" s="2" t="s">
        <v>6</v>
      </c>
      <c r="G495">
        <v>1</v>
      </c>
      <c r="H495" s="2" t="s">
        <v>13</v>
      </c>
      <c r="I495">
        <v>1</v>
      </c>
      <c r="J495" s="2" t="s">
        <v>16</v>
      </c>
      <c r="K495">
        <v>1</v>
      </c>
      <c r="L495" s="2" t="s">
        <v>22</v>
      </c>
      <c r="M495">
        <v>1</v>
      </c>
      <c r="N495" s="2" t="s">
        <v>37</v>
      </c>
      <c r="O495">
        <v>1</v>
      </c>
    </row>
    <row r="496" spans="1:15" x14ac:dyDescent="0.35">
      <c r="A496" s="2" t="s">
        <v>174</v>
      </c>
      <c r="B496" s="2" t="s">
        <v>56</v>
      </c>
      <c r="C496" s="2" t="s">
        <v>50</v>
      </c>
      <c r="D496" s="2" t="s">
        <v>231</v>
      </c>
      <c r="E496">
        <v>2015</v>
      </c>
      <c r="F496" s="2" t="s">
        <v>6</v>
      </c>
      <c r="G496">
        <v>1</v>
      </c>
      <c r="H496" s="2" t="s">
        <v>13</v>
      </c>
      <c r="I496">
        <v>1</v>
      </c>
      <c r="J496" s="2" t="s">
        <v>16</v>
      </c>
      <c r="K496">
        <v>1</v>
      </c>
      <c r="L496" s="2" t="s">
        <v>22</v>
      </c>
      <c r="M496">
        <v>1</v>
      </c>
      <c r="N496" s="2" t="s">
        <v>41</v>
      </c>
      <c r="O496">
        <v>1</v>
      </c>
    </row>
    <row r="497" spans="1:15" x14ac:dyDescent="0.35">
      <c r="A497" s="2" t="s">
        <v>174</v>
      </c>
      <c r="B497" s="2" t="s">
        <v>56</v>
      </c>
      <c r="C497" s="2" t="s">
        <v>50</v>
      </c>
      <c r="D497" s="2" t="s">
        <v>231</v>
      </c>
      <c r="E497">
        <v>2015</v>
      </c>
      <c r="F497" s="2" t="s">
        <v>6</v>
      </c>
      <c r="G497">
        <v>1</v>
      </c>
      <c r="H497" s="2" t="s">
        <v>13</v>
      </c>
      <c r="I497">
        <v>1</v>
      </c>
      <c r="J497" s="2" t="s">
        <v>16</v>
      </c>
      <c r="K497">
        <v>1</v>
      </c>
      <c r="L497" s="2" t="s">
        <v>22</v>
      </c>
      <c r="M497">
        <v>1</v>
      </c>
      <c r="N497" s="2" t="s">
        <v>42</v>
      </c>
      <c r="O497">
        <v>1</v>
      </c>
    </row>
    <row r="498" spans="1:15" x14ac:dyDescent="0.35">
      <c r="A498" s="2" t="s">
        <v>174</v>
      </c>
      <c r="B498" s="2" t="s">
        <v>56</v>
      </c>
      <c r="C498" s="2" t="s">
        <v>50</v>
      </c>
      <c r="D498" s="2" t="s">
        <v>231</v>
      </c>
      <c r="E498">
        <v>2015</v>
      </c>
      <c r="F498" s="2" t="s">
        <v>6</v>
      </c>
      <c r="G498">
        <v>1</v>
      </c>
      <c r="H498" s="2" t="s">
        <v>13</v>
      </c>
      <c r="I498">
        <v>1</v>
      </c>
      <c r="J498" s="2" t="s">
        <v>16</v>
      </c>
      <c r="K498">
        <v>1</v>
      </c>
      <c r="L498" s="2" t="s">
        <v>22</v>
      </c>
      <c r="M498">
        <v>1</v>
      </c>
      <c r="N498" s="2" t="s">
        <v>44</v>
      </c>
      <c r="O498">
        <v>1</v>
      </c>
    </row>
    <row r="499" spans="1:15" x14ac:dyDescent="0.35">
      <c r="A499" s="2" t="s">
        <v>174</v>
      </c>
      <c r="B499" s="2" t="s">
        <v>56</v>
      </c>
      <c r="C499" s="2" t="s">
        <v>50</v>
      </c>
      <c r="D499" s="2" t="s">
        <v>231</v>
      </c>
      <c r="E499">
        <v>2015</v>
      </c>
      <c r="F499" s="2" t="s">
        <v>6</v>
      </c>
      <c r="G499">
        <v>1</v>
      </c>
      <c r="H499" s="2" t="s">
        <v>13</v>
      </c>
      <c r="I499">
        <v>1</v>
      </c>
      <c r="J499" s="2" t="s">
        <v>16</v>
      </c>
      <c r="K499">
        <v>1</v>
      </c>
      <c r="L499" s="2" t="s">
        <v>22</v>
      </c>
      <c r="M499">
        <v>1</v>
      </c>
      <c r="N499" s="2" t="s">
        <v>46</v>
      </c>
      <c r="O499">
        <v>1</v>
      </c>
    </row>
    <row r="500" spans="1:15" x14ac:dyDescent="0.35">
      <c r="A500" s="2" t="s">
        <v>174</v>
      </c>
      <c r="B500" s="2" t="s">
        <v>56</v>
      </c>
      <c r="C500" s="2" t="s">
        <v>50</v>
      </c>
      <c r="D500" s="2" t="s">
        <v>231</v>
      </c>
      <c r="E500">
        <v>2015</v>
      </c>
      <c r="F500" s="2" t="s">
        <v>6</v>
      </c>
      <c r="G500">
        <v>1</v>
      </c>
      <c r="H500" s="2" t="s">
        <v>13</v>
      </c>
      <c r="I500">
        <v>1</v>
      </c>
      <c r="J500" s="2" t="s">
        <v>16</v>
      </c>
      <c r="K500">
        <v>1</v>
      </c>
      <c r="L500" s="2" t="s">
        <v>24</v>
      </c>
      <c r="M500">
        <v>1</v>
      </c>
      <c r="N500" s="2" t="s">
        <v>35</v>
      </c>
      <c r="O500">
        <v>1</v>
      </c>
    </row>
    <row r="501" spans="1:15" x14ac:dyDescent="0.35">
      <c r="A501" s="2" t="s">
        <v>174</v>
      </c>
      <c r="B501" s="2" t="s">
        <v>56</v>
      </c>
      <c r="C501" s="2" t="s">
        <v>50</v>
      </c>
      <c r="D501" s="2" t="s">
        <v>231</v>
      </c>
      <c r="E501">
        <v>2015</v>
      </c>
      <c r="F501" s="2" t="s">
        <v>6</v>
      </c>
      <c r="G501">
        <v>1</v>
      </c>
      <c r="H501" s="2" t="s">
        <v>13</v>
      </c>
      <c r="I501">
        <v>1</v>
      </c>
      <c r="J501" s="2" t="s">
        <v>16</v>
      </c>
      <c r="K501">
        <v>1</v>
      </c>
      <c r="L501" s="2" t="s">
        <v>24</v>
      </c>
      <c r="M501">
        <v>1</v>
      </c>
      <c r="N501" s="2" t="s">
        <v>37</v>
      </c>
      <c r="O501">
        <v>1</v>
      </c>
    </row>
    <row r="502" spans="1:15" x14ac:dyDescent="0.35">
      <c r="A502" s="2" t="s">
        <v>174</v>
      </c>
      <c r="B502" s="2" t="s">
        <v>56</v>
      </c>
      <c r="C502" s="2" t="s">
        <v>50</v>
      </c>
      <c r="D502" s="2" t="s">
        <v>231</v>
      </c>
      <c r="E502">
        <v>2015</v>
      </c>
      <c r="F502" s="2" t="s">
        <v>6</v>
      </c>
      <c r="G502">
        <v>1</v>
      </c>
      <c r="H502" s="2" t="s">
        <v>13</v>
      </c>
      <c r="I502">
        <v>1</v>
      </c>
      <c r="J502" s="2" t="s">
        <v>16</v>
      </c>
      <c r="K502">
        <v>1</v>
      </c>
      <c r="L502" s="2" t="s">
        <v>24</v>
      </c>
      <c r="M502">
        <v>1</v>
      </c>
      <c r="N502" s="2" t="s">
        <v>41</v>
      </c>
      <c r="O502">
        <v>1</v>
      </c>
    </row>
    <row r="503" spans="1:15" x14ac:dyDescent="0.35">
      <c r="A503" s="2" t="s">
        <v>174</v>
      </c>
      <c r="B503" s="2" t="s">
        <v>56</v>
      </c>
      <c r="C503" s="2" t="s">
        <v>50</v>
      </c>
      <c r="D503" s="2" t="s">
        <v>231</v>
      </c>
      <c r="E503">
        <v>2015</v>
      </c>
      <c r="F503" s="2" t="s">
        <v>6</v>
      </c>
      <c r="G503">
        <v>1</v>
      </c>
      <c r="H503" s="2" t="s">
        <v>13</v>
      </c>
      <c r="I503">
        <v>1</v>
      </c>
      <c r="J503" s="2" t="s">
        <v>16</v>
      </c>
      <c r="K503">
        <v>1</v>
      </c>
      <c r="L503" s="2" t="s">
        <v>24</v>
      </c>
      <c r="M503">
        <v>1</v>
      </c>
      <c r="N503" s="2" t="s">
        <v>42</v>
      </c>
      <c r="O503">
        <v>1</v>
      </c>
    </row>
    <row r="504" spans="1:15" x14ac:dyDescent="0.35">
      <c r="A504" s="2" t="s">
        <v>174</v>
      </c>
      <c r="B504" s="2" t="s">
        <v>56</v>
      </c>
      <c r="C504" s="2" t="s">
        <v>50</v>
      </c>
      <c r="D504" s="2" t="s">
        <v>231</v>
      </c>
      <c r="E504">
        <v>2015</v>
      </c>
      <c r="F504" s="2" t="s">
        <v>6</v>
      </c>
      <c r="G504">
        <v>1</v>
      </c>
      <c r="H504" s="2" t="s">
        <v>13</v>
      </c>
      <c r="I504">
        <v>1</v>
      </c>
      <c r="J504" s="2" t="s">
        <v>16</v>
      </c>
      <c r="K504">
        <v>1</v>
      </c>
      <c r="L504" s="2" t="s">
        <v>24</v>
      </c>
      <c r="M504">
        <v>1</v>
      </c>
      <c r="N504" s="2" t="s">
        <v>44</v>
      </c>
      <c r="O504">
        <v>1</v>
      </c>
    </row>
    <row r="505" spans="1:15" x14ac:dyDescent="0.35">
      <c r="A505" s="2" t="s">
        <v>174</v>
      </c>
      <c r="B505" s="2" t="s">
        <v>56</v>
      </c>
      <c r="C505" s="2" t="s">
        <v>50</v>
      </c>
      <c r="D505" s="2" t="s">
        <v>231</v>
      </c>
      <c r="E505">
        <v>2015</v>
      </c>
      <c r="F505" s="2" t="s">
        <v>6</v>
      </c>
      <c r="G505">
        <v>1</v>
      </c>
      <c r="H505" s="2" t="s">
        <v>13</v>
      </c>
      <c r="I505">
        <v>1</v>
      </c>
      <c r="J505" s="2" t="s">
        <v>16</v>
      </c>
      <c r="K505">
        <v>1</v>
      </c>
      <c r="L505" s="2" t="s">
        <v>24</v>
      </c>
      <c r="M505">
        <v>1</v>
      </c>
      <c r="N505" s="2" t="s">
        <v>46</v>
      </c>
      <c r="O505">
        <v>1</v>
      </c>
    </row>
    <row r="506" spans="1:15" x14ac:dyDescent="0.35">
      <c r="A506" s="2" t="s">
        <v>174</v>
      </c>
      <c r="B506" s="2" t="s">
        <v>56</v>
      </c>
      <c r="C506" s="2" t="s">
        <v>50</v>
      </c>
      <c r="D506" s="2" t="s">
        <v>231</v>
      </c>
      <c r="E506">
        <v>2015</v>
      </c>
      <c r="F506" s="2" t="s">
        <v>6</v>
      </c>
      <c r="G506">
        <v>1</v>
      </c>
      <c r="H506" s="2" t="s">
        <v>13</v>
      </c>
      <c r="I506">
        <v>1</v>
      </c>
      <c r="J506" s="2" t="s">
        <v>17</v>
      </c>
      <c r="K506">
        <v>1</v>
      </c>
      <c r="L506" s="2" t="s">
        <v>22</v>
      </c>
      <c r="M506">
        <v>1</v>
      </c>
      <c r="N506" s="2" t="s">
        <v>35</v>
      </c>
      <c r="O506">
        <v>1</v>
      </c>
    </row>
    <row r="507" spans="1:15" x14ac:dyDescent="0.35">
      <c r="A507" s="2" t="s">
        <v>174</v>
      </c>
      <c r="B507" s="2" t="s">
        <v>56</v>
      </c>
      <c r="C507" s="2" t="s">
        <v>50</v>
      </c>
      <c r="D507" s="2" t="s">
        <v>231</v>
      </c>
      <c r="E507">
        <v>2015</v>
      </c>
      <c r="F507" s="2" t="s">
        <v>6</v>
      </c>
      <c r="G507">
        <v>1</v>
      </c>
      <c r="H507" s="2" t="s">
        <v>13</v>
      </c>
      <c r="I507">
        <v>1</v>
      </c>
      <c r="J507" s="2" t="s">
        <v>17</v>
      </c>
      <c r="K507">
        <v>1</v>
      </c>
      <c r="L507" s="2" t="s">
        <v>22</v>
      </c>
      <c r="M507">
        <v>1</v>
      </c>
      <c r="N507" s="2" t="s">
        <v>37</v>
      </c>
      <c r="O507">
        <v>1</v>
      </c>
    </row>
    <row r="508" spans="1:15" x14ac:dyDescent="0.35">
      <c r="A508" s="2" t="s">
        <v>174</v>
      </c>
      <c r="B508" s="2" t="s">
        <v>56</v>
      </c>
      <c r="C508" s="2" t="s">
        <v>50</v>
      </c>
      <c r="D508" s="2" t="s">
        <v>231</v>
      </c>
      <c r="E508">
        <v>2015</v>
      </c>
      <c r="F508" s="2" t="s">
        <v>6</v>
      </c>
      <c r="G508">
        <v>1</v>
      </c>
      <c r="H508" s="2" t="s">
        <v>13</v>
      </c>
      <c r="I508">
        <v>1</v>
      </c>
      <c r="J508" s="2" t="s">
        <v>17</v>
      </c>
      <c r="K508">
        <v>1</v>
      </c>
      <c r="L508" s="2" t="s">
        <v>22</v>
      </c>
      <c r="M508">
        <v>1</v>
      </c>
      <c r="N508" s="2" t="s">
        <v>41</v>
      </c>
      <c r="O508">
        <v>1</v>
      </c>
    </row>
    <row r="509" spans="1:15" x14ac:dyDescent="0.35">
      <c r="A509" s="2" t="s">
        <v>174</v>
      </c>
      <c r="B509" s="2" t="s">
        <v>56</v>
      </c>
      <c r="C509" s="2" t="s">
        <v>50</v>
      </c>
      <c r="D509" s="2" t="s">
        <v>231</v>
      </c>
      <c r="E509">
        <v>2015</v>
      </c>
      <c r="F509" s="2" t="s">
        <v>6</v>
      </c>
      <c r="G509">
        <v>1</v>
      </c>
      <c r="H509" s="2" t="s">
        <v>13</v>
      </c>
      <c r="I509">
        <v>1</v>
      </c>
      <c r="J509" s="2" t="s">
        <v>17</v>
      </c>
      <c r="K509">
        <v>1</v>
      </c>
      <c r="L509" s="2" t="s">
        <v>22</v>
      </c>
      <c r="M509">
        <v>1</v>
      </c>
      <c r="N509" s="2" t="s">
        <v>42</v>
      </c>
      <c r="O509">
        <v>1</v>
      </c>
    </row>
    <row r="510" spans="1:15" x14ac:dyDescent="0.35">
      <c r="A510" s="2" t="s">
        <v>174</v>
      </c>
      <c r="B510" s="2" t="s">
        <v>56</v>
      </c>
      <c r="C510" s="2" t="s">
        <v>50</v>
      </c>
      <c r="D510" s="2" t="s">
        <v>231</v>
      </c>
      <c r="E510">
        <v>2015</v>
      </c>
      <c r="F510" s="2" t="s">
        <v>6</v>
      </c>
      <c r="G510">
        <v>1</v>
      </c>
      <c r="H510" s="2" t="s">
        <v>13</v>
      </c>
      <c r="I510">
        <v>1</v>
      </c>
      <c r="J510" s="2" t="s">
        <v>17</v>
      </c>
      <c r="K510">
        <v>1</v>
      </c>
      <c r="L510" s="2" t="s">
        <v>22</v>
      </c>
      <c r="M510">
        <v>1</v>
      </c>
      <c r="N510" s="2" t="s">
        <v>44</v>
      </c>
      <c r="O510">
        <v>1</v>
      </c>
    </row>
    <row r="511" spans="1:15" x14ac:dyDescent="0.35">
      <c r="A511" s="2" t="s">
        <v>174</v>
      </c>
      <c r="B511" s="2" t="s">
        <v>56</v>
      </c>
      <c r="C511" s="2" t="s">
        <v>50</v>
      </c>
      <c r="D511" s="2" t="s">
        <v>231</v>
      </c>
      <c r="E511">
        <v>2015</v>
      </c>
      <c r="F511" s="2" t="s">
        <v>6</v>
      </c>
      <c r="G511">
        <v>1</v>
      </c>
      <c r="H511" s="2" t="s">
        <v>13</v>
      </c>
      <c r="I511">
        <v>1</v>
      </c>
      <c r="J511" s="2" t="s">
        <v>17</v>
      </c>
      <c r="K511">
        <v>1</v>
      </c>
      <c r="L511" s="2" t="s">
        <v>22</v>
      </c>
      <c r="M511">
        <v>1</v>
      </c>
      <c r="N511" s="2" t="s">
        <v>46</v>
      </c>
      <c r="O511">
        <v>1</v>
      </c>
    </row>
    <row r="512" spans="1:15" x14ac:dyDescent="0.35">
      <c r="A512" s="2" t="s">
        <v>174</v>
      </c>
      <c r="B512" s="2" t="s">
        <v>56</v>
      </c>
      <c r="C512" s="2" t="s">
        <v>50</v>
      </c>
      <c r="D512" s="2" t="s">
        <v>231</v>
      </c>
      <c r="E512">
        <v>2015</v>
      </c>
      <c r="F512" s="2" t="s">
        <v>6</v>
      </c>
      <c r="G512">
        <v>1</v>
      </c>
      <c r="H512" s="2" t="s">
        <v>13</v>
      </c>
      <c r="I512">
        <v>1</v>
      </c>
      <c r="J512" s="2" t="s">
        <v>17</v>
      </c>
      <c r="K512">
        <v>1</v>
      </c>
      <c r="L512" s="2" t="s">
        <v>24</v>
      </c>
      <c r="M512">
        <v>1</v>
      </c>
      <c r="N512" s="2" t="s">
        <v>35</v>
      </c>
      <c r="O512">
        <v>1</v>
      </c>
    </row>
    <row r="513" spans="1:15" x14ac:dyDescent="0.35">
      <c r="A513" s="2" t="s">
        <v>174</v>
      </c>
      <c r="B513" s="2" t="s">
        <v>56</v>
      </c>
      <c r="C513" s="2" t="s">
        <v>50</v>
      </c>
      <c r="D513" s="2" t="s">
        <v>231</v>
      </c>
      <c r="E513">
        <v>2015</v>
      </c>
      <c r="F513" s="2" t="s">
        <v>6</v>
      </c>
      <c r="G513">
        <v>1</v>
      </c>
      <c r="H513" s="2" t="s">
        <v>13</v>
      </c>
      <c r="I513">
        <v>1</v>
      </c>
      <c r="J513" s="2" t="s">
        <v>17</v>
      </c>
      <c r="K513">
        <v>1</v>
      </c>
      <c r="L513" s="2" t="s">
        <v>24</v>
      </c>
      <c r="M513">
        <v>1</v>
      </c>
      <c r="N513" s="2" t="s">
        <v>37</v>
      </c>
      <c r="O513">
        <v>1</v>
      </c>
    </row>
    <row r="514" spans="1:15" x14ac:dyDescent="0.35">
      <c r="A514" s="2" t="s">
        <v>174</v>
      </c>
      <c r="B514" s="2" t="s">
        <v>56</v>
      </c>
      <c r="C514" s="2" t="s">
        <v>50</v>
      </c>
      <c r="D514" s="2" t="s">
        <v>231</v>
      </c>
      <c r="E514">
        <v>2015</v>
      </c>
      <c r="F514" s="2" t="s">
        <v>6</v>
      </c>
      <c r="G514">
        <v>1</v>
      </c>
      <c r="H514" s="2" t="s">
        <v>13</v>
      </c>
      <c r="I514">
        <v>1</v>
      </c>
      <c r="J514" s="2" t="s">
        <v>17</v>
      </c>
      <c r="K514">
        <v>1</v>
      </c>
      <c r="L514" s="2" t="s">
        <v>24</v>
      </c>
      <c r="M514">
        <v>1</v>
      </c>
      <c r="N514" s="2" t="s">
        <v>41</v>
      </c>
      <c r="O514">
        <v>1</v>
      </c>
    </row>
    <row r="515" spans="1:15" x14ac:dyDescent="0.35">
      <c r="A515" s="2" t="s">
        <v>174</v>
      </c>
      <c r="B515" s="2" t="s">
        <v>56</v>
      </c>
      <c r="C515" s="2" t="s">
        <v>50</v>
      </c>
      <c r="D515" s="2" t="s">
        <v>231</v>
      </c>
      <c r="E515">
        <v>2015</v>
      </c>
      <c r="F515" s="2" t="s">
        <v>6</v>
      </c>
      <c r="G515">
        <v>1</v>
      </c>
      <c r="H515" s="2" t="s">
        <v>13</v>
      </c>
      <c r="I515">
        <v>1</v>
      </c>
      <c r="J515" s="2" t="s">
        <v>17</v>
      </c>
      <c r="K515">
        <v>1</v>
      </c>
      <c r="L515" s="2" t="s">
        <v>24</v>
      </c>
      <c r="M515">
        <v>1</v>
      </c>
      <c r="N515" s="2" t="s">
        <v>42</v>
      </c>
      <c r="O515">
        <v>1</v>
      </c>
    </row>
    <row r="516" spans="1:15" x14ac:dyDescent="0.35">
      <c r="A516" s="2" t="s">
        <v>174</v>
      </c>
      <c r="B516" s="2" t="s">
        <v>56</v>
      </c>
      <c r="C516" s="2" t="s">
        <v>50</v>
      </c>
      <c r="D516" s="2" t="s">
        <v>231</v>
      </c>
      <c r="E516">
        <v>2015</v>
      </c>
      <c r="F516" s="2" t="s">
        <v>6</v>
      </c>
      <c r="G516">
        <v>1</v>
      </c>
      <c r="H516" s="2" t="s">
        <v>13</v>
      </c>
      <c r="I516">
        <v>1</v>
      </c>
      <c r="J516" s="2" t="s">
        <v>17</v>
      </c>
      <c r="K516">
        <v>1</v>
      </c>
      <c r="L516" s="2" t="s">
        <v>24</v>
      </c>
      <c r="M516">
        <v>1</v>
      </c>
      <c r="N516" s="2" t="s">
        <v>44</v>
      </c>
      <c r="O516">
        <v>1</v>
      </c>
    </row>
    <row r="517" spans="1:15" x14ac:dyDescent="0.35">
      <c r="A517" s="2" t="s">
        <v>174</v>
      </c>
      <c r="B517" s="2" t="s">
        <v>56</v>
      </c>
      <c r="C517" s="2" t="s">
        <v>50</v>
      </c>
      <c r="D517" s="2" t="s">
        <v>231</v>
      </c>
      <c r="E517">
        <v>2015</v>
      </c>
      <c r="F517" s="2" t="s">
        <v>6</v>
      </c>
      <c r="G517">
        <v>1</v>
      </c>
      <c r="H517" s="2" t="s">
        <v>13</v>
      </c>
      <c r="I517">
        <v>1</v>
      </c>
      <c r="J517" s="2" t="s">
        <v>17</v>
      </c>
      <c r="K517">
        <v>1</v>
      </c>
      <c r="L517" s="2" t="s">
        <v>24</v>
      </c>
      <c r="M517">
        <v>1</v>
      </c>
      <c r="N517" s="2" t="s">
        <v>46</v>
      </c>
      <c r="O517">
        <v>1</v>
      </c>
    </row>
    <row r="518" spans="1:15" x14ac:dyDescent="0.35">
      <c r="A518" s="2" t="s">
        <v>184</v>
      </c>
      <c r="B518" s="2" t="s">
        <v>56</v>
      </c>
      <c r="C518" s="2" t="s">
        <v>50</v>
      </c>
      <c r="D518" s="2" t="s">
        <v>231</v>
      </c>
      <c r="E518">
        <v>2020</v>
      </c>
      <c r="F518" s="2" t="s">
        <v>6</v>
      </c>
      <c r="G518">
        <v>1</v>
      </c>
      <c r="H518" s="2" t="s">
        <v>13</v>
      </c>
      <c r="I518">
        <v>1</v>
      </c>
      <c r="J518" s="2" t="s">
        <v>16</v>
      </c>
      <c r="K518">
        <v>1</v>
      </c>
      <c r="L518" s="2" t="s">
        <v>22</v>
      </c>
      <c r="M518">
        <v>1</v>
      </c>
      <c r="N518" s="2" t="s">
        <v>37</v>
      </c>
      <c r="O518">
        <v>1</v>
      </c>
    </row>
    <row r="519" spans="1:15" x14ac:dyDescent="0.35">
      <c r="A519" s="2" t="s">
        <v>184</v>
      </c>
      <c r="B519" s="2" t="s">
        <v>56</v>
      </c>
      <c r="C519" s="2" t="s">
        <v>50</v>
      </c>
      <c r="D519" s="2" t="s">
        <v>231</v>
      </c>
      <c r="E519">
        <v>2020</v>
      </c>
      <c r="F519" s="2" t="s">
        <v>6</v>
      </c>
      <c r="G519">
        <v>1</v>
      </c>
      <c r="H519" s="2" t="s">
        <v>13</v>
      </c>
      <c r="I519">
        <v>1</v>
      </c>
      <c r="J519" s="2" t="s">
        <v>16</v>
      </c>
      <c r="K519">
        <v>1</v>
      </c>
      <c r="L519" s="2" t="s">
        <v>22</v>
      </c>
      <c r="M519">
        <v>1</v>
      </c>
      <c r="N519" s="2" t="s">
        <v>38</v>
      </c>
      <c r="O519">
        <v>1</v>
      </c>
    </row>
    <row r="520" spans="1:15" x14ac:dyDescent="0.35">
      <c r="A520" s="2" t="s">
        <v>184</v>
      </c>
      <c r="B520" s="2" t="s">
        <v>56</v>
      </c>
      <c r="C520" s="2" t="s">
        <v>50</v>
      </c>
      <c r="D520" s="2" t="s">
        <v>231</v>
      </c>
      <c r="E520">
        <v>2020</v>
      </c>
      <c r="F520" s="2" t="s">
        <v>6</v>
      </c>
      <c r="G520">
        <v>1</v>
      </c>
      <c r="H520" s="2" t="s">
        <v>13</v>
      </c>
      <c r="I520">
        <v>1</v>
      </c>
      <c r="J520" s="2" t="s">
        <v>16</v>
      </c>
      <c r="K520">
        <v>1</v>
      </c>
      <c r="L520" s="2" t="s">
        <v>24</v>
      </c>
      <c r="M520">
        <v>1</v>
      </c>
      <c r="N520" s="2" t="s">
        <v>37</v>
      </c>
      <c r="O520">
        <v>1</v>
      </c>
    </row>
    <row r="521" spans="1:15" x14ac:dyDescent="0.35">
      <c r="A521" s="2" t="s">
        <v>184</v>
      </c>
      <c r="B521" s="2" t="s">
        <v>56</v>
      </c>
      <c r="C521" s="2" t="s">
        <v>50</v>
      </c>
      <c r="D521" s="2" t="s">
        <v>231</v>
      </c>
      <c r="E521">
        <v>2020</v>
      </c>
      <c r="F521" s="2" t="s">
        <v>6</v>
      </c>
      <c r="G521">
        <v>1</v>
      </c>
      <c r="H521" s="2" t="s">
        <v>13</v>
      </c>
      <c r="I521">
        <v>1</v>
      </c>
      <c r="J521" s="2" t="s">
        <v>16</v>
      </c>
      <c r="K521">
        <v>1</v>
      </c>
      <c r="L521" s="2" t="s">
        <v>24</v>
      </c>
      <c r="M521">
        <v>1</v>
      </c>
      <c r="N521" s="2" t="s">
        <v>38</v>
      </c>
      <c r="O521">
        <v>1</v>
      </c>
    </row>
    <row r="522" spans="1:15" x14ac:dyDescent="0.35">
      <c r="A522" s="2" t="s">
        <v>192</v>
      </c>
      <c r="B522" s="2" t="s">
        <v>49</v>
      </c>
      <c r="C522" s="2" t="s">
        <v>50</v>
      </c>
      <c r="D522" s="2" t="s">
        <v>231</v>
      </c>
      <c r="E522">
        <v>2016</v>
      </c>
      <c r="F522" s="2" t="s">
        <v>6</v>
      </c>
      <c r="G522">
        <v>1</v>
      </c>
      <c r="H522" s="2" t="s">
        <v>13</v>
      </c>
      <c r="I522">
        <v>1</v>
      </c>
      <c r="J522" s="2" t="s">
        <v>15</v>
      </c>
      <c r="K522">
        <v>1</v>
      </c>
      <c r="L522" s="2" t="s">
        <v>22</v>
      </c>
      <c r="M522">
        <v>1</v>
      </c>
      <c r="N522" s="2" t="s">
        <v>38</v>
      </c>
      <c r="O522">
        <v>1</v>
      </c>
    </row>
    <row r="523" spans="1:15" x14ac:dyDescent="0.35">
      <c r="A523" s="2" t="s">
        <v>192</v>
      </c>
      <c r="B523" s="2" t="s">
        <v>49</v>
      </c>
      <c r="C523" s="2" t="s">
        <v>50</v>
      </c>
      <c r="D523" s="2" t="s">
        <v>231</v>
      </c>
      <c r="E523">
        <v>2016</v>
      </c>
      <c r="F523" s="2" t="s">
        <v>6</v>
      </c>
      <c r="G523">
        <v>1</v>
      </c>
      <c r="H523" s="2" t="s">
        <v>13</v>
      </c>
      <c r="I523">
        <v>1</v>
      </c>
      <c r="J523" s="2" t="s">
        <v>15</v>
      </c>
      <c r="K523">
        <v>1</v>
      </c>
      <c r="L523" s="2" t="s">
        <v>22</v>
      </c>
      <c r="M523">
        <v>1</v>
      </c>
      <c r="N523" s="2" t="s">
        <v>41</v>
      </c>
      <c r="O523">
        <v>1</v>
      </c>
    </row>
    <row r="524" spans="1:15" x14ac:dyDescent="0.35">
      <c r="A524" s="2" t="s">
        <v>192</v>
      </c>
      <c r="B524" s="2" t="s">
        <v>49</v>
      </c>
      <c r="C524" s="2" t="s">
        <v>50</v>
      </c>
      <c r="D524" s="2" t="s">
        <v>231</v>
      </c>
      <c r="E524">
        <v>2016</v>
      </c>
      <c r="F524" s="2" t="s">
        <v>6</v>
      </c>
      <c r="G524">
        <v>1</v>
      </c>
      <c r="H524" s="2" t="s">
        <v>13</v>
      </c>
      <c r="I524">
        <v>1</v>
      </c>
      <c r="J524" s="2" t="s">
        <v>15</v>
      </c>
      <c r="K524">
        <v>1</v>
      </c>
      <c r="L524" s="2" t="s">
        <v>22</v>
      </c>
      <c r="M524">
        <v>1</v>
      </c>
      <c r="N524" s="2" t="s">
        <v>44</v>
      </c>
      <c r="O524">
        <v>1</v>
      </c>
    </row>
    <row r="525" spans="1:15" x14ac:dyDescent="0.35">
      <c r="A525" s="2" t="s">
        <v>192</v>
      </c>
      <c r="B525" s="2" t="s">
        <v>49</v>
      </c>
      <c r="C525" s="2" t="s">
        <v>50</v>
      </c>
      <c r="D525" s="2" t="s">
        <v>231</v>
      </c>
      <c r="E525">
        <v>2016</v>
      </c>
      <c r="F525" s="2" t="s">
        <v>6</v>
      </c>
      <c r="G525">
        <v>1</v>
      </c>
      <c r="H525" s="2" t="s">
        <v>13</v>
      </c>
      <c r="I525">
        <v>1</v>
      </c>
      <c r="J525" s="2" t="s">
        <v>15</v>
      </c>
      <c r="K525">
        <v>1</v>
      </c>
      <c r="L525" s="2" t="s">
        <v>23</v>
      </c>
      <c r="M525">
        <v>1</v>
      </c>
      <c r="N525" s="2" t="s">
        <v>38</v>
      </c>
      <c r="O525">
        <v>1</v>
      </c>
    </row>
    <row r="526" spans="1:15" x14ac:dyDescent="0.35">
      <c r="A526" s="2" t="s">
        <v>192</v>
      </c>
      <c r="B526" s="2" t="s">
        <v>49</v>
      </c>
      <c r="C526" s="2" t="s">
        <v>50</v>
      </c>
      <c r="D526" s="2" t="s">
        <v>231</v>
      </c>
      <c r="E526">
        <v>2016</v>
      </c>
      <c r="F526" s="2" t="s">
        <v>6</v>
      </c>
      <c r="G526">
        <v>1</v>
      </c>
      <c r="H526" s="2" t="s">
        <v>13</v>
      </c>
      <c r="I526">
        <v>1</v>
      </c>
      <c r="J526" s="2" t="s">
        <v>15</v>
      </c>
      <c r="K526">
        <v>1</v>
      </c>
      <c r="L526" s="2" t="s">
        <v>23</v>
      </c>
      <c r="M526">
        <v>1</v>
      </c>
      <c r="N526" s="2" t="s">
        <v>41</v>
      </c>
      <c r="O526">
        <v>1</v>
      </c>
    </row>
    <row r="527" spans="1:15" x14ac:dyDescent="0.35">
      <c r="A527" s="2" t="s">
        <v>192</v>
      </c>
      <c r="B527" s="2" t="s">
        <v>49</v>
      </c>
      <c r="C527" s="2" t="s">
        <v>50</v>
      </c>
      <c r="D527" s="2" t="s">
        <v>231</v>
      </c>
      <c r="E527">
        <v>2016</v>
      </c>
      <c r="F527" s="2" t="s">
        <v>6</v>
      </c>
      <c r="G527">
        <v>1</v>
      </c>
      <c r="H527" s="2" t="s">
        <v>13</v>
      </c>
      <c r="I527">
        <v>1</v>
      </c>
      <c r="J527" s="2" t="s">
        <v>15</v>
      </c>
      <c r="K527">
        <v>1</v>
      </c>
      <c r="L527" s="2" t="s">
        <v>23</v>
      </c>
      <c r="M527">
        <v>1</v>
      </c>
      <c r="N527" s="2" t="s">
        <v>44</v>
      </c>
      <c r="O527">
        <v>1</v>
      </c>
    </row>
    <row r="528" spans="1:15" x14ac:dyDescent="0.35">
      <c r="A528" s="2" t="s">
        <v>192</v>
      </c>
      <c r="B528" s="2" t="s">
        <v>49</v>
      </c>
      <c r="C528" s="2" t="s">
        <v>50</v>
      </c>
      <c r="D528" s="2" t="s">
        <v>231</v>
      </c>
      <c r="E528">
        <v>2016</v>
      </c>
      <c r="F528" s="2" t="s">
        <v>6</v>
      </c>
      <c r="G528">
        <v>1</v>
      </c>
      <c r="H528" s="2" t="s">
        <v>13</v>
      </c>
      <c r="I528">
        <v>1</v>
      </c>
      <c r="J528" s="2" t="s">
        <v>16</v>
      </c>
      <c r="K528">
        <v>1</v>
      </c>
      <c r="L528" s="2" t="s">
        <v>22</v>
      </c>
      <c r="M528">
        <v>1</v>
      </c>
      <c r="N528" s="2" t="s">
        <v>38</v>
      </c>
      <c r="O528">
        <v>1</v>
      </c>
    </row>
    <row r="529" spans="1:15" x14ac:dyDescent="0.35">
      <c r="A529" s="2" t="s">
        <v>192</v>
      </c>
      <c r="B529" s="2" t="s">
        <v>49</v>
      </c>
      <c r="C529" s="2" t="s">
        <v>50</v>
      </c>
      <c r="D529" s="2" t="s">
        <v>231</v>
      </c>
      <c r="E529">
        <v>2016</v>
      </c>
      <c r="F529" s="2" t="s">
        <v>6</v>
      </c>
      <c r="G529">
        <v>1</v>
      </c>
      <c r="H529" s="2" t="s">
        <v>13</v>
      </c>
      <c r="I529">
        <v>1</v>
      </c>
      <c r="J529" s="2" t="s">
        <v>16</v>
      </c>
      <c r="K529">
        <v>1</v>
      </c>
      <c r="L529" s="2" t="s">
        <v>22</v>
      </c>
      <c r="M529">
        <v>1</v>
      </c>
      <c r="N529" s="2" t="s">
        <v>41</v>
      </c>
      <c r="O529">
        <v>1</v>
      </c>
    </row>
    <row r="530" spans="1:15" x14ac:dyDescent="0.35">
      <c r="A530" s="2" t="s">
        <v>192</v>
      </c>
      <c r="B530" s="2" t="s">
        <v>49</v>
      </c>
      <c r="C530" s="2" t="s">
        <v>50</v>
      </c>
      <c r="D530" s="2" t="s">
        <v>231</v>
      </c>
      <c r="E530">
        <v>2016</v>
      </c>
      <c r="F530" s="2" t="s">
        <v>6</v>
      </c>
      <c r="G530">
        <v>1</v>
      </c>
      <c r="H530" s="2" t="s">
        <v>13</v>
      </c>
      <c r="I530">
        <v>1</v>
      </c>
      <c r="J530" s="2" t="s">
        <v>16</v>
      </c>
      <c r="K530">
        <v>1</v>
      </c>
      <c r="L530" s="2" t="s">
        <v>22</v>
      </c>
      <c r="M530">
        <v>1</v>
      </c>
      <c r="N530" s="2" t="s">
        <v>44</v>
      </c>
      <c r="O530">
        <v>1</v>
      </c>
    </row>
    <row r="531" spans="1:15" x14ac:dyDescent="0.35">
      <c r="A531" s="2" t="s">
        <v>192</v>
      </c>
      <c r="B531" s="2" t="s">
        <v>49</v>
      </c>
      <c r="C531" s="2" t="s">
        <v>50</v>
      </c>
      <c r="D531" s="2" t="s">
        <v>231</v>
      </c>
      <c r="E531">
        <v>2016</v>
      </c>
      <c r="F531" s="2" t="s">
        <v>6</v>
      </c>
      <c r="G531">
        <v>1</v>
      </c>
      <c r="H531" s="2" t="s">
        <v>13</v>
      </c>
      <c r="I531">
        <v>1</v>
      </c>
      <c r="J531" s="2" t="s">
        <v>16</v>
      </c>
      <c r="K531">
        <v>1</v>
      </c>
      <c r="L531" s="2" t="s">
        <v>23</v>
      </c>
      <c r="M531">
        <v>1</v>
      </c>
      <c r="N531" s="2" t="s">
        <v>38</v>
      </c>
      <c r="O531">
        <v>1</v>
      </c>
    </row>
    <row r="532" spans="1:15" x14ac:dyDescent="0.35">
      <c r="A532" s="2" t="s">
        <v>192</v>
      </c>
      <c r="B532" s="2" t="s">
        <v>49</v>
      </c>
      <c r="C532" s="2" t="s">
        <v>50</v>
      </c>
      <c r="D532" s="2" t="s">
        <v>231</v>
      </c>
      <c r="E532">
        <v>2016</v>
      </c>
      <c r="F532" s="2" t="s">
        <v>6</v>
      </c>
      <c r="G532">
        <v>1</v>
      </c>
      <c r="H532" s="2" t="s">
        <v>13</v>
      </c>
      <c r="I532">
        <v>1</v>
      </c>
      <c r="J532" s="2" t="s">
        <v>16</v>
      </c>
      <c r="K532">
        <v>1</v>
      </c>
      <c r="L532" s="2" t="s">
        <v>23</v>
      </c>
      <c r="M532">
        <v>1</v>
      </c>
      <c r="N532" s="2" t="s">
        <v>41</v>
      </c>
      <c r="O532">
        <v>1</v>
      </c>
    </row>
    <row r="533" spans="1:15" x14ac:dyDescent="0.35">
      <c r="A533" s="2" t="s">
        <v>192</v>
      </c>
      <c r="B533" s="2" t="s">
        <v>49</v>
      </c>
      <c r="C533" s="2" t="s">
        <v>50</v>
      </c>
      <c r="D533" s="2" t="s">
        <v>231</v>
      </c>
      <c r="E533">
        <v>2016</v>
      </c>
      <c r="F533" s="2" t="s">
        <v>6</v>
      </c>
      <c r="G533">
        <v>1</v>
      </c>
      <c r="H533" s="2" t="s">
        <v>13</v>
      </c>
      <c r="I533">
        <v>1</v>
      </c>
      <c r="J533" s="2" t="s">
        <v>16</v>
      </c>
      <c r="K533">
        <v>1</v>
      </c>
      <c r="L533" s="2" t="s">
        <v>23</v>
      </c>
      <c r="M533">
        <v>1</v>
      </c>
      <c r="N533" s="2" t="s">
        <v>44</v>
      </c>
      <c r="O533">
        <v>1</v>
      </c>
    </row>
    <row r="534" spans="1:15" x14ac:dyDescent="0.35">
      <c r="A534" s="2" t="s">
        <v>48</v>
      </c>
      <c r="B534" s="2" t="s">
        <v>49</v>
      </c>
      <c r="C534" s="2" t="s">
        <v>50</v>
      </c>
      <c r="D534" s="2" t="s">
        <v>231</v>
      </c>
      <c r="E534">
        <v>2018</v>
      </c>
      <c r="F534" s="2" t="s">
        <v>6</v>
      </c>
      <c r="G534">
        <v>1</v>
      </c>
      <c r="H534" s="2" t="s">
        <v>8</v>
      </c>
      <c r="I534">
        <v>1</v>
      </c>
      <c r="J534" s="2" t="s">
        <v>14</v>
      </c>
      <c r="K534">
        <v>1</v>
      </c>
      <c r="L534" s="2" t="s">
        <v>23</v>
      </c>
      <c r="M534">
        <v>1</v>
      </c>
      <c r="N534" s="2" t="s">
        <v>44</v>
      </c>
      <c r="O534">
        <v>1</v>
      </c>
    </row>
    <row r="535" spans="1:15" x14ac:dyDescent="0.35">
      <c r="A535" s="2" t="s">
        <v>48</v>
      </c>
      <c r="B535" s="2" t="s">
        <v>49</v>
      </c>
      <c r="C535" s="2" t="s">
        <v>50</v>
      </c>
      <c r="D535" s="2" t="s">
        <v>231</v>
      </c>
      <c r="E535">
        <v>2018</v>
      </c>
      <c r="F535" s="2" t="s">
        <v>6</v>
      </c>
      <c r="G535">
        <v>1</v>
      </c>
      <c r="H535" s="2" t="s">
        <v>9</v>
      </c>
      <c r="I535">
        <v>1</v>
      </c>
      <c r="J535" s="2" t="s">
        <v>14</v>
      </c>
      <c r="K535">
        <v>1</v>
      </c>
      <c r="L535" s="2" t="s">
        <v>23</v>
      </c>
      <c r="M535">
        <v>1</v>
      </c>
      <c r="N535" s="2" t="s">
        <v>44</v>
      </c>
      <c r="O535">
        <v>1</v>
      </c>
    </row>
    <row r="536" spans="1:15" x14ac:dyDescent="0.35">
      <c r="A536" s="2" t="s">
        <v>48</v>
      </c>
      <c r="B536" s="2" t="s">
        <v>49</v>
      </c>
      <c r="C536" s="2" t="s">
        <v>50</v>
      </c>
      <c r="D536" s="2" t="s">
        <v>231</v>
      </c>
      <c r="E536">
        <v>2018</v>
      </c>
      <c r="F536" s="2" t="s">
        <v>6</v>
      </c>
      <c r="G536">
        <v>1</v>
      </c>
      <c r="H536" s="2" t="s">
        <v>10</v>
      </c>
      <c r="I536">
        <v>1</v>
      </c>
      <c r="J536" s="2" t="s">
        <v>14</v>
      </c>
      <c r="K536">
        <v>1</v>
      </c>
      <c r="L536" s="2" t="s">
        <v>23</v>
      </c>
      <c r="M536">
        <v>1</v>
      </c>
      <c r="N536" s="2" t="s">
        <v>44</v>
      </c>
      <c r="O536">
        <v>1</v>
      </c>
    </row>
    <row r="537" spans="1:15" x14ac:dyDescent="0.35">
      <c r="A537" s="2" t="s">
        <v>48</v>
      </c>
      <c r="B537" s="2" t="s">
        <v>49</v>
      </c>
      <c r="C537" s="2" t="s">
        <v>50</v>
      </c>
      <c r="D537" s="2" t="s">
        <v>231</v>
      </c>
      <c r="E537">
        <v>2018</v>
      </c>
      <c r="F537" s="2" t="s">
        <v>6</v>
      </c>
      <c r="G537">
        <v>1</v>
      </c>
      <c r="H537" s="2" t="s">
        <v>11</v>
      </c>
      <c r="I537">
        <v>1</v>
      </c>
      <c r="J537" s="2" t="s">
        <v>14</v>
      </c>
      <c r="K537">
        <v>1</v>
      </c>
      <c r="L537" s="2" t="s">
        <v>23</v>
      </c>
      <c r="M537">
        <v>1</v>
      </c>
      <c r="N537" s="2" t="s">
        <v>44</v>
      </c>
      <c r="O537">
        <v>1</v>
      </c>
    </row>
    <row r="538" spans="1:15" x14ac:dyDescent="0.35">
      <c r="A538" s="2" t="s">
        <v>53</v>
      </c>
      <c r="B538" s="2" t="s">
        <v>49</v>
      </c>
      <c r="C538" s="2" t="s">
        <v>50</v>
      </c>
      <c r="D538" s="2" t="s">
        <v>231</v>
      </c>
      <c r="E538">
        <v>2019</v>
      </c>
      <c r="F538" s="2" t="s">
        <v>6</v>
      </c>
      <c r="G538">
        <v>1</v>
      </c>
      <c r="H538" s="2" t="s">
        <v>10</v>
      </c>
      <c r="I538">
        <v>1</v>
      </c>
      <c r="J538" s="2" t="s">
        <v>14</v>
      </c>
      <c r="K538">
        <v>1</v>
      </c>
      <c r="L538" s="2" t="s">
        <v>19</v>
      </c>
      <c r="M538">
        <v>1</v>
      </c>
      <c r="N538" s="2" t="s">
        <v>35</v>
      </c>
      <c r="O538">
        <v>1</v>
      </c>
    </row>
    <row r="539" spans="1:15" x14ac:dyDescent="0.35">
      <c r="A539" s="2" t="s">
        <v>53</v>
      </c>
      <c r="B539" s="2" t="s">
        <v>49</v>
      </c>
      <c r="C539" s="2" t="s">
        <v>50</v>
      </c>
      <c r="D539" s="2" t="s">
        <v>231</v>
      </c>
      <c r="E539">
        <v>2019</v>
      </c>
      <c r="F539" s="2" t="s">
        <v>6</v>
      </c>
      <c r="G539">
        <v>1</v>
      </c>
      <c r="H539" s="2" t="s">
        <v>10</v>
      </c>
      <c r="I539">
        <v>1</v>
      </c>
      <c r="J539" s="2" t="s">
        <v>14</v>
      </c>
      <c r="K539">
        <v>1</v>
      </c>
      <c r="L539" s="2" t="s">
        <v>19</v>
      </c>
      <c r="M539">
        <v>1</v>
      </c>
      <c r="N539" s="2" t="s">
        <v>45</v>
      </c>
      <c r="O539">
        <v>1</v>
      </c>
    </row>
    <row r="540" spans="1:15" x14ac:dyDescent="0.35">
      <c r="A540" s="2" t="s">
        <v>53</v>
      </c>
      <c r="B540" s="2" t="s">
        <v>49</v>
      </c>
      <c r="C540" s="2" t="s">
        <v>50</v>
      </c>
      <c r="D540" s="2" t="s">
        <v>231</v>
      </c>
      <c r="E540">
        <v>2019</v>
      </c>
      <c r="F540" s="2" t="s">
        <v>6</v>
      </c>
      <c r="G540">
        <v>1</v>
      </c>
      <c r="H540" s="2" t="s">
        <v>10</v>
      </c>
      <c r="I540">
        <v>1</v>
      </c>
      <c r="J540" s="2" t="s">
        <v>15</v>
      </c>
      <c r="K540">
        <v>1</v>
      </c>
      <c r="L540" s="2" t="s">
        <v>19</v>
      </c>
      <c r="M540">
        <v>1</v>
      </c>
      <c r="N540" s="2" t="s">
        <v>35</v>
      </c>
      <c r="O540">
        <v>1</v>
      </c>
    </row>
    <row r="541" spans="1:15" x14ac:dyDescent="0.35">
      <c r="A541" s="2" t="s">
        <v>53</v>
      </c>
      <c r="B541" s="2" t="s">
        <v>49</v>
      </c>
      <c r="C541" s="2" t="s">
        <v>50</v>
      </c>
      <c r="D541" s="2" t="s">
        <v>231</v>
      </c>
      <c r="E541">
        <v>2019</v>
      </c>
      <c r="F541" s="2" t="s">
        <v>6</v>
      </c>
      <c r="G541">
        <v>1</v>
      </c>
      <c r="H541" s="2" t="s">
        <v>10</v>
      </c>
      <c r="I541">
        <v>1</v>
      </c>
      <c r="J541" s="2" t="s">
        <v>15</v>
      </c>
      <c r="K541">
        <v>1</v>
      </c>
      <c r="L541" s="2" t="s">
        <v>19</v>
      </c>
      <c r="M541">
        <v>1</v>
      </c>
      <c r="N541" s="2" t="s">
        <v>45</v>
      </c>
      <c r="O541">
        <v>1</v>
      </c>
    </row>
    <row r="542" spans="1:15" x14ac:dyDescent="0.35">
      <c r="A542" s="2" t="s">
        <v>65</v>
      </c>
      <c r="B542" s="2" t="s">
        <v>66</v>
      </c>
      <c r="C542" s="2" t="s">
        <v>50</v>
      </c>
      <c r="D542" s="2" t="s">
        <v>231</v>
      </c>
      <c r="E542">
        <v>2021</v>
      </c>
      <c r="F542" s="2" t="s">
        <v>6</v>
      </c>
      <c r="G542">
        <v>1</v>
      </c>
      <c r="H542" s="2" t="s">
        <v>10</v>
      </c>
      <c r="I542">
        <v>1</v>
      </c>
      <c r="J542" s="2" t="s">
        <v>15</v>
      </c>
      <c r="K542">
        <v>1</v>
      </c>
      <c r="L542" s="2" t="s">
        <v>24</v>
      </c>
      <c r="M542">
        <v>1</v>
      </c>
      <c r="N542" s="2" t="s">
        <v>37</v>
      </c>
      <c r="O542">
        <v>1</v>
      </c>
    </row>
    <row r="543" spans="1:15" x14ac:dyDescent="0.35">
      <c r="A543" s="2" t="s">
        <v>65</v>
      </c>
      <c r="B543" s="2" t="s">
        <v>66</v>
      </c>
      <c r="C543" s="2" t="s">
        <v>50</v>
      </c>
      <c r="D543" s="2" t="s">
        <v>231</v>
      </c>
      <c r="E543">
        <v>2021</v>
      </c>
      <c r="F543" s="2" t="s">
        <v>6</v>
      </c>
      <c r="G543">
        <v>1</v>
      </c>
      <c r="H543" s="2" t="s">
        <v>10</v>
      </c>
      <c r="I543">
        <v>1</v>
      </c>
      <c r="J543" s="2" t="s">
        <v>15</v>
      </c>
      <c r="K543">
        <v>1</v>
      </c>
      <c r="L543" s="2" t="s">
        <v>24</v>
      </c>
      <c r="M543">
        <v>1</v>
      </c>
      <c r="N543" s="2" t="s">
        <v>44</v>
      </c>
      <c r="O543">
        <v>1</v>
      </c>
    </row>
    <row r="544" spans="1:15" x14ac:dyDescent="0.35">
      <c r="A544" s="2" t="s">
        <v>65</v>
      </c>
      <c r="B544" s="2" t="s">
        <v>66</v>
      </c>
      <c r="C544" s="2" t="s">
        <v>50</v>
      </c>
      <c r="D544" s="2" t="s">
        <v>231</v>
      </c>
      <c r="E544">
        <v>2021</v>
      </c>
      <c r="F544" s="2" t="s">
        <v>6</v>
      </c>
      <c r="G544">
        <v>1</v>
      </c>
      <c r="H544" s="2" t="s">
        <v>10</v>
      </c>
      <c r="I544">
        <v>1</v>
      </c>
      <c r="J544" s="2" t="s">
        <v>17</v>
      </c>
      <c r="K544">
        <v>1</v>
      </c>
      <c r="L544" s="2" t="s">
        <v>24</v>
      </c>
      <c r="M544">
        <v>1</v>
      </c>
      <c r="N544" s="2" t="s">
        <v>37</v>
      </c>
      <c r="O544">
        <v>1</v>
      </c>
    </row>
    <row r="545" spans="1:15" x14ac:dyDescent="0.35">
      <c r="A545" s="2" t="s">
        <v>65</v>
      </c>
      <c r="B545" s="2" t="s">
        <v>66</v>
      </c>
      <c r="C545" s="2" t="s">
        <v>50</v>
      </c>
      <c r="D545" s="2" t="s">
        <v>231</v>
      </c>
      <c r="E545">
        <v>2021</v>
      </c>
      <c r="F545" s="2" t="s">
        <v>6</v>
      </c>
      <c r="G545">
        <v>1</v>
      </c>
      <c r="H545" s="2" t="s">
        <v>10</v>
      </c>
      <c r="I545">
        <v>1</v>
      </c>
      <c r="J545" s="2" t="s">
        <v>17</v>
      </c>
      <c r="K545">
        <v>1</v>
      </c>
      <c r="L545" s="2" t="s">
        <v>24</v>
      </c>
      <c r="M545">
        <v>1</v>
      </c>
      <c r="N545" s="2" t="s">
        <v>44</v>
      </c>
      <c r="O545">
        <v>1</v>
      </c>
    </row>
    <row r="546" spans="1:15" x14ac:dyDescent="0.35">
      <c r="A546" s="2" t="s">
        <v>76</v>
      </c>
      <c r="B546" s="2" t="s">
        <v>49</v>
      </c>
      <c r="C546" s="2" t="s">
        <v>50</v>
      </c>
      <c r="D546" s="2" t="s">
        <v>231</v>
      </c>
      <c r="E546">
        <v>2019</v>
      </c>
      <c r="F546" s="2" t="s">
        <v>6</v>
      </c>
      <c r="G546">
        <v>1</v>
      </c>
      <c r="H546" s="2" t="s">
        <v>9</v>
      </c>
      <c r="I546">
        <v>1</v>
      </c>
      <c r="J546" s="2" t="s">
        <v>14</v>
      </c>
      <c r="K546">
        <v>1</v>
      </c>
      <c r="L546" s="2" t="s">
        <v>24</v>
      </c>
      <c r="M546">
        <v>1</v>
      </c>
      <c r="N546" s="2" t="s">
        <v>33</v>
      </c>
      <c r="O546">
        <v>1</v>
      </c>
    </row>
    <row r="547" spans="1:15" x14ac:dyDescent="0.35">
      <c r="A547" s="2" t="s">
        <v>76</v>
      </c>
      <c r="B547" s="2" t="s">
        <v>49</v>
      </c>
      <c r="C547" s="2" t="s">
        <v>50</v>
      </c>
      <c r="D547" s="2" t="s">
        <v>231</v>
      </c>
      <c r="E547">
        <v>2019</v>
      </c>
      <c r="F547" s="2" t="s">
        <v>6</v>
      </c>
      <c r="G547">
        <v>1</v>
      </c>
      <c r="H547" s="2" t="s">
        <v>9</v>
      </c>
      <c r="I547">
        <v>1</v>
      </c>
      <c r="J547" s="2" t="s">
        <v>15</v>
      </c>
      <c r="K547">
        <v>1</v>
      </c>
      <c r="L547" s="2" t="s">
        <v>24</v>
      </c>
      <c r="M547">
        <v>1</v>
      </c>
      <c r="N547" s="2" t="s">
        <v>33</v>
      </c>
      <c r="O547">
        <v>1</v>
      </c>
    </row>
    <row r="548" spans="1:15" x14ac:dyDescent="0.35">
      <c r="A548" s="2" t="s">
        <v>78</v>
      </c>
      <c r="B548" s="2" t="s">
        <v>66</v>
      </c>
      <c r="C548" s="2" t="s">
        <v>50</v>
      </c>
      <c r="D548" s="2" t="s">
        <v>231</v>
      </c>
      <c r="E548">
        <v>2019</v>
      </c>
      <c r="F548" s="2" t="s">
        <v>6</v>
      </c>
      <c r="G548">
        <v>1</v>
      </c>
      <c r="H548" s="2" t="s">
        <v>8</v>
      </c>
      <c r="I548">
        <v>1</v>
      </c>
      <c r="J548" s="2" t="s">
        <v>14</v>
      </c>
      <c r="K548">
        <v>1</v>
      </c>
      <c r="L548" s="2" t="s">
        <v>22</v>
      </c>
      <c r="M548">
        <v>1</v>
      </c>
      <c r="N548" s="2" t="s">
        <v>37</v>
      </c>
      <c r="O548">
        <v>1</v>
      </c>
    </row>
    <row r="549" spans="1:15" x14ac:dyDescent="0.35">
      <c r="A549" s="2" t="s">
        <v>78</v>
      </c>
      <c r="B549" s="2" t="s">
        <v>66</v>
      </c>
      <c r="C549" s="2" t="s">
        <v>50</v>
      </c>
      <c r="D549" s="2" t="s">
        <v>231</v>
      </c>
      <c r="E549">
        <v>2019</v>
      </c>
      <c r="F549" s="2" t="s">
        <v>6</v>
      </c>
      <c r="G549">
        <v>1</v>
      </c>
      <c r="H549" s="2" t="s">
        <v>8</v>
      </c>
      <c r="I549">
        <v>1</v>
      </c>
      <c r="J549" s="2" t="s">
        <v>14</v>
      </c>
      <c r="K549">
        <v>1</v>
      </c>
      <c r="L549" s="2" t="s">
        <v>22</v>
      </c>
      <c r="M549">
        <v>1</v>
      </c>
      <c r="N549" s="2" t="s">
        <v>38</v>
      </c>
      <c r="O549">
        <v>1</v>
      </c>
    </row>
    <row r="550" spans="1:15" x14ac:dyDescent="0.35">
      <c r="A550" s="2" t="s">
        <v>78</v>
      </c>
      <c r="B550" s="2" t="s">
        <v>66</v>
      </c>
      <c r="C550" s="2" t="s">
        <v>50</v>
      </c>
      <c r="D550" s="2" t="s">
        <v>231</v>
      </c>
      <c r="E550">
        <v>2019</v>
      </c>
      <c r="F550" s="2" t="s">
        <v>6</v>
      </c>
      <c r="G550">
        <v>1</v>
      </c>
      <c r="H550" s="2" t="s">
        <v>8</v>
      </c>
      <c r="I550">
        <v>1</v>
      </c>
      <c r="J550" s="2" t="s">
        <v>14</v>
      </c>
      <c r="K550">
        <v>1</v>
      </c>
      <c r="L550" s="2" t="s">
        <v>22</v>
      </c>
      <c r="M550">
        <v>1</v>
      </c>
      <c r="N550" s="2" t="s">
        <v>44</v>
      </c>
      <c r="O550">
        <v>1</v>
      </c>
    </row>
    <row r="551" spans="1:15" x14ac:dyDescent="0.35">
      <c r="A551" s="2" t="s">
        <v>78</v>
      </c>
      <c r="B551" s="2" t="s">
        <v>66</v>
      </c>
      <c r="C551" s="2" t="s">
        <v>50</v>
      </c>
      <c r="D551" s="2" t="s">
        <v>231</v>
      </c>
      <c r="E551">
        <v>2019</v>
      </c>
      <c r="F551" s="2" t="s">
        <v>6</v>
      </c>
      <c r="G551">
        <v>1</v>
      </c>
      <c r="H551" s="2" t="s">
        <v>8</v>
      </c>
      <c r="I551">
        <v>1</v>
      </c>
      <c r="J551" s="2" t="s">
        <v>14</v>
      </c>
      <c r="K551">
        <v>1</v>
      </c>
      <c r="L551" s="2" t="s">
        <v>24</v>
      </c>
      <c r="M551">
        <v>1</v>
      </c>
      <c r="N551" s="2" t="s">
        <v>37</v>
      </c>
      <c r="O551">
        <v>1</v>
      </c>
    </row>
    <row r="552" spans="1:15" x14ac:dyDescent="0.35">
      <c r="A552" s="2" t="s">
        <v>78</v>
      </c>
      <c r="B552" s="2" t="s">
        <v>66</v>
      </c>
      <c r="C552" s="2" t="s">
        <v>50</v>
      </c>
      <c r="D552" s="2" t="s">
        <v>231</v>
      </c>
      <c r="E552">
        <v>2019</v>
      </c>
      <c r="F552" s="2" t="s">
        <v>6</v>
      </c>
      <c r="G552">
        <v>1</v>
      </c>
      <c r="H552" s="2" t="s">
        <v>8</v>
      </c>
      <c r="I552">
        <v>1</v>
      </c>
      <c r="J552" s="2" t="s">
        <v>14</v>
      </c>
      <c r="K552">
        <v>1</v>
      </c>
      <c r="L552" s="2" t="s">
        <v>24</v>
      </c>
      <c r="M552">
        <v>1</v>
      </c>
      <c r="N552" s="2" t="s">
        <v>38</v>
      </c>
      <c r="O552">
        <v>1</v>
      </c>
    </row>
    <row r="553" spans="1:15" x14ac:dyDescent="0.35">
      <c r="A553" s="2" t="s">
        <v>78</v>
      </c>
      <c r="B553" s="2" t="s">
        <v>66</v>
      </c>
      <c r="C553" s="2" t="s">
        <v>50</v>
      </c>
      <c r="D553" s="2" t="s">
        <v>231</v>
      </c>
      <c r="E553">
        <v>2019</v>
      </c>
      <c r="F553" s="2" t="s">
        <v>6</v>
      </c>
      <c r="G553">
        <v>1</v>
      </c>
      <c r="H553" s="2" t="s">
        <v>8</v>
      </c>
      <c r="I553">
        <v>1</v>
      </c>
      <c r="J553" s="2" t="s">
        <v>14</v>
      </c>
      <c r="K553">
        <v>1</v>
      </c>
      <c r="L553" s="2" t="s">
        <v>24</v>
      </c>
      <c r="M553">
        <v>1</v>
      </c>
      <c r="N553" s="2" t="s">
        <v>44</v>
      </c>
      <c r="O553">
        <v>1</v>
      </c>
    </row>
    <row r="554" spans="1:15" x14ac:dyDescent="0.35">
      <c r="A554" s="2" t="s">
        <v>78</v>
      </c>
      <c r="B554" s="2" t="s">
        <v>66</v>
      </c>
      <c r="C554" s="2" t="s">
        <v>50</v>
      </c>
      <c r="D554" s="2" t="s">
        <v>231</v>
      </c>
      <c r="E554">
        <v>2019</v>
      </c>
      <c r="F554" s="2" t="s">
        <v>6</v>
      </c>
      <c r="G554">
        <v>1</v>
      </c>
      <c r="H554" s="2" t="s">
        <v>8</v>
      </c>
      <c r="I554">
        <v>1</v>
      </c>
      <c r="J554" s="2" t="s">
        <v>15</v>
      </c>
      <c r="K554">
        <v>1</v>
      </c>
      <c r="L554" s="2" t="s">
        <v>22</v>
      </c>
      <c r="M554">
        <v>1</v>
      </c>
      <c r="N554" s="2" t="s">
        <v>37</v>
      </c>
      <c r="O554">
        <v>1</v>
      </c>
    </row>
    <row r="555" spans="1:15" x14ac:dyDescent="0.35">
      <c r="A555" s="2" t="s">
        <v>78</v>
      </c>
      <c r="B555" s="2" t="s">
        <v>66</v>
      </c>
      <c r="C555" s="2" t="s">
        <v>50</v>
      </c>
      <c r="D555" s="2" t="s">
        <v>231</v>
      </c>
      <c r="E555">
        <v>2019</v>
      </c>
      <c r="F555" s="2" t="s">
        <v>6</v>
      </c>
      <c r="G555">
        <v>1</v>
      </c>
      <c r="H555" s="2" t="s">
        <v>8</v>
      </c>
      <c r="I555">
        <v>1</v>
      </c>
      <c r="J555" s="2" t="s">
        <v>15</v>
      </c>
      <c r="K555">
        <v>1</v>
      </c>
      <c r="L555" s="2" t="s">
        <v>22</v>
      </c>
      <c r="M555">
        <v>1</v>
      </c>
      <c r="N555" s="2" t="s">
        <v>38</v>
      </c>
      <c r="O555">
        <v>1</v>
      </c>
    </row>
    <row r="556" spans="1:15" x14ac:dyDescent="0.35">
      <c r="A556" s="2" t="s">
        <v>78</v>
      </c>
      <c r="B556" s="2" t="s">
        <v>66</v>
      </c>
      <c r="C556" s="2" t="s">
        <v>50</v>
      </c>
      <c r="D556" s="2" t="s">
        <v>231</v>
      </c>
      <c r="E556">
        <v>2019</v>
      </c>
      <c r="F556" s="2" t="s">
        <v>6</v>
      </c>
      <c r="G556">
        <v>1</v>
      </c>
      <c r="H556" s="2" t="s">
        <v>8</v>
      </c>
      <c r="I556">
        <v>1</v>
      </c>
      <c r="J556" s="2" t="s">
        <v>15</v>
      </c>
      <c r="K556">
        <v>1</v>
      </c>
      <c r="L556" s="2" t="s">
        <v>22</v>
      </c>
      <c r="M556">
        <v>1</v>
      </c>
      <c r="N556" s="2" t="s">
        <v>44</v>
      </c>
      <c r="O556">
        <v>1</v>
      </c>
    </row>
    <row r="557" spans="1:15" x14ac:dyDescent="0.35">
      <c r="A557" s="2" t="s">
        <v>78</v>
      </c>
      <c r="B557" s="2" t="s">
        <v>66</v>
      </c>
      <c r="C557" s="2" t="s">
        <v>50</v>
      </c>
      <c r="D557" s="2" t="s">
        <v>231</v>
      </c>
      <c r="E557">
        <v>2019</v>
      </c>
      <c r="F557" s="2" t="s">
        <v>6</v>
      </c>
      <c r="G557">
        <v>1</v>
      </c>
      <c r="H557" s="2" t="s">
        <v>8</v>
      </c>
      <c r="I557">
        <v>1</v>
      </c>
      <c r="J557" s="2" t="s">
        <v>15</v>
      </c>
      <c r="K557">
        <v>1</v>
      </c>
      <c r="L557" s="2" t="s">
        <v>24</v>
      </c>
      <c r="M557">
        <v>1</v>
      </c>
      <c r="N557" s="2" t="s">
        <v>37</v>
      </c>
      <c r="O557">
        <v>1</v>
      </c>
    </row>
    <row r="558" spans="1:15" x14ac:dyDescent="0.35">
      <c r="A558" s="2" t="s">
        <v>78</v>
      </c>
      <c r="B558" s="2" t="s">
        <v>66</v>
      </c>
      <c r="C558" s="2" t="s">
        <v>50</v>
      </c>
      <c r="D558" s="2" t="s">
        <v>231</v>
      </c>
      <c r="E558">
        <v>2019</v>
      </c>
      <c r="F558" s="2" t="s">
        <v>6</v>
      </c>
      <c r="G558">
        <v>1</v>
      </c>
      <c r="H558" s="2" t="s">
        <v>8</v>
      </c>
      <c r="I558">
        <v>1</v>
      </c>
      <c r="J558" s="2" t="s">
        <v>15</v>
      </c>
      <c r="K558">
        <v>1</v>
      </c>
      <c r="L558" s="2" t="s">
        <v>24</v>
      </c>
      <c r="M558">
        <v>1</v>
      </c>
      <c r="N558" s="2" t="s">
        <v>38</v>
      </c>
      <c r="O558">
        <v>1</v>
      </c>
    </row>
    <row r="559" spans="1:15" x14ac:dyDescent="0.35">
      <c r="A559" s="2" t="s">
        <v>78</v>
      </c>
      <c r="B559" s="2" t="s">
        <v>66</v>
      </c>
      <c r="C559" s="2" t="s">
        <v>50</v>
      </c>
      <c r="D559" s="2" t="s">
        <v>231</v>
      </c>
      <c r="E559">
        <v>2019</v>
      </c>
      <c r="F559" s="2" t="s">
        <v>6</v>
      </c>
      <c r="G559">
        <v>1</v>
      </c>
      <c r="H559" s="2" t="s">
        <v>8</v>
      </c>
      <c r="I559">
        <v>1</v>
      </c>
      <c r="J559" s="2" t="s">
        <v>15</v>
      </c>
      <c r="K559">
        <v>1</v>
      </c>
      <c r="L559" s="2" t="s">
        <v>24</v>
      </c>
      <c r="M559">
        <v>1</v>
      </c>
      <c r="N559" s="2" t="s">
        <v>44</v>
      </c>
      <c r="O559">
        <v>1</v>
      </c>
    </row>
    <row r="560" spans="1:15" x14ac:dyDescent="0.35">
      <c r="A560" s="2" t="s">
        <v>78</v>
      </c>
      <c r="B560" s="2" t="s">
        <v>66</v>
      </c>
      <c r="C560" s="2" t="s">
        <v>50</v>
      </c>
      <c r="D560" s="2" t="s">
        <v>231</v>
      </c>
      <c r="E560">
        <v>2019</v>
      </c>
      <c r="F560" s="2" t="s">
        <v>6</v>
      </c>
      <c r="G560">
        <v>1</v>
      </c>
      <c r="H560" s="2" t="s">
        <v>8</v>
      </c>
      <c r="I560">
        <v>1</v>
      </c>
      <c r="J560" s="2" t="s">
        <v>17</v>
      </c>
      <c r="K560">
        <v>1</v>
      </c>
      <c r="L560" s="2" t="s">
        <v>22</v>
      </c>
      <c r="M560">
        <v>1</v>
      </c>
      <c r="N560" s="2" t="s">
        <v>37</v>
      </c>
      <c r="O560">
        <v>1</v>
      </c>
    </row>
    <row r="561" spans="1:15" x14ac:dyDescent="0.35">
      <c r="A561" s="2" t="s">
        <v>78</v>
      </c>
      <c r="B561" s="2" t="s">
        <v>66</v>
      </c>
      <c r="C561" s="2" t="s">
        <v>50</v>
      </c>
      <c r="D561" s="2" t="s">
        <v>231</v>
      </c>
      <c r="E561">
        <v>2019</v>
      </c>
      <c r="F561" s="2" t="s">
        <v>6</v>
      </c>
      <c r="G561">
        <v>1</v>
      </c>
      <c r="H561" s="2" t="s">
        <v>8</v>
      </c>
      <c r="I561">
        <v>1</v>
      </c>
      <c r="J561" s="2" t="s">
        <v>17</v>
      </c>
      <c r="K561">
        <v>1</v>
      </c>
      <c r="L561" s="2" t="s">
        <v>22</v>
      </c>
      <c r="M561">
        <v>1</v>
      </c>
      <c r="N561" s="2" t="s">
        <v>38</v>
      </c>
      <c r="O561">
        <v>1</v>
      </c>
    </row>
    <row r="562" spans="1:15" x14ac:dyDescent="0.35">
      <c r="A562" s="2" t="s">
        <v>78</v>
      </c>
      <c r="B562" s="2" t="s">
        <v>66</v>
      </c>
      <c r="C562" s="2" t="s">
        <v>50</v>
      </c>
      <c r="D562" s="2" t="s">
        <v>231</v>
      </c>
      <c r="E562">
        <v>2019</v>
      </c>
      <c r="F562" s="2" t="s">
        <v>6</v>
      </c>
      <c r="G562">
        <v>1</v>
      </c>
      <c r="H562" s="2" t="s">
        <v>8</v>
      </c>
      <c r="I562">
        <v>1</v>
      </c>
      <c r="J562" s="2" t="s">
        <v>17</v>
      </c>
      <c r="K562">
        <v>1</v>
      </c>
      <c r="L562" s="2" t="s">
        <v>22</v>
      </c>
      <c r="M562">
        <v>1</v>
      </c>
      <c r="N562" s="2" t="s">
        <v>44</v>
      </c>
      <c r="O562">
        <v>1</v>
      </c>
    </row>
    <row r="563" spans="1:15" x14ac:dyDescent="0.35">
      <c r="A563" s="2" t="s">
        <v>78</v>
      </c>
      <c r="B563" s="2" t="s">
        <v>66</v>
      </c>
      <c r="C563" s="2" t="s">
        <v>50</v>
      </c>
      <c r="D563" s="2" t="s">
        <v>231</v>
      </c>
      <c r="E563">
        <v>2019</v>
      </c>
      <c r="F563" s="2" t="s">
        <v>6</v>
      </c>
      <c r="G563">
        <v>1</v>
      </c>
      <c r="H563" s="2" t="s">
        <v>8</v>
      </c>
      <c r="I563">
        <v>1</v>
      </c>
      <c r="J563" s="2" t="s">
        <v>17</v>
      </c>
      <c r="K563">
        <v>1</v>
      </c>
      <c r="L563" s="2" t="s">
        <v>24</v>
      </c>
      <c r="M563">
        <v>1</v>
      </c>
      <c r="N563" s="2" t="s">
        <v>37</v>
      </c>
      <c r="O563">
        <v>1</v>
      </c>
    </row>
    <row r="564" spans="1:15" x14ac:dyDescent="0.35">
      <c r="A564" s="2" t="s">
        <v>78</v>
      </c>
      <c r="B564" s="2" t="s">
        <v>66</v>
      </c>
      <c r="C564" s="2" t="s">
        <v>50</v>
      </c>
      <c r="D564" s="2" t="s">
        <v>231</v>
      </c>
      <c r="E564">
        <v>2019</v>
      </c>
      <c r="F564" s="2" t="s">
        <v>6</v>
      </c>
      <c r="G564">
        <v>1</v>
      </c>
      <c r="H564" s="2" t="s">
        <v>8</v>
      </c>
      <c r="I564">
        <v>1</v>
      </c>
      <c r="J564" s="2" t="s">
        <v>17</v>
      </c>
      <c r="K564">
        <v>1</v>
      </c>
      <c r="L564" s="2" t="s">
        <v>24</v>
      </c>
      <c r="M564">
        <v>1</v>
      </c>
      <c r="N564" s="2" t="s">
        <v>38</v>
      </c>
      <c r="O564">
        <v>1</v>
      </c>
    </row>
    <row r="565" spans="1:15" x14ac:dyDescent="0.35">
      <c r="A565" s="2" t="s">
        <v>78</v>
      </c>
      <c r="B565" s="2" t="s">
        <v>66</v>
      </c>
      <c r="C565" s="2" t="s">
        <v>50</v>
      </c>
      <c r="D565" s="2" t="s">
        <v>231</v>
      </c>
      <c r="E565">
        <v>2019</v>
      </c>
      <c r="F565" s="2" t="s">
        <v>6</v>
      </c>
      <c r="G565">
        <v>1</v>
      </c>
      <c r="H565" s="2" t="s">
        <v>8</v>
      </c>
      <c r="I565">
        <v>1</v>
      </c>
      <c r="J565" s="2" t="s">
        <v>17</v>
      </c>
      <c r="K565">
        <v>1</v>
      </c>
      <c r="L565" s="2" t="s">
        <v>24</v>
      </c>
      <c r="M565">
        <v>1</v>
      </c>
      <c r="N565" s="2" t="s">
        <v>44</v>
      </c>
      <c r="O565">
        <v>1</v>
      </c>
    </row>
    <row r="566" spans="1:15" x14ac:dyDescent="0.35">
      <c r="A566" s="2" t="s">
        <v>104</v>
      </c>
      <c r="B566" s="2" t="s">
        <v>56</v>
      </c>
      <c r="C566" s="2" t="s">
        <v>50</v>
      </c>
      <c r="D566" s="2" t="s">
        <v>231</v>
      </c>
      <c r="E566">
        <v>2020</v>
      </c>
      <c r="F566" s="2" t="s">
        <v>6</v>
      </c>
      <c r="G566">
        <v>1</v>
      </c>
      <c r="H566" s="2" t="s">
        <v>9</v>
      </c>
      <c r="I566">
        <v>1</v>
      </c>
      <c r="J566" s="2" t="s">
        <v>16</v>
      </c>
      <c r="K566">
        <v>1</v>
      </c>
      <c r="L566" s="2" t="s">
        <v>19</v>
      </c>
      <c r="M566">
        <v>1</v>
      </c>
      <c r="N566" s="2" t="s">
        <v>32</v>
      </c>
      <c r="O566">
        <v>1</v>
      </c>
    </row>
    <row r="567" spans="1:15" x14ac:dyDescent="0.35">
      <c r="A567" s="2" t="s">
        <v>104</v>
      </c>
      <c r="B567" s="2" t="s">
        <v>56</v>
      </c>
      <c r="C567" s="2" t="s">
        <v>50</v>
      </c>
      <c r="D567" s="2" t="s">
        <v>231</v>
      </c>
      <c r="E567">
        <v>2020</v>
      </c>
      <c r="F567" s="2" t="s">
        <v>6</v>
      </c>
      <c r="G567">
        <v>1</v>
      </c>
      <c r="H567" s="2" t="s">
        <v>9</v>
      </c>
      <c r="I567">
        <v>1</v>
      </c>
      <c r="J567" s="2" t="s">
        <v>16</v>
      </c>
      <c r="K567">
        <v>1</v>
      </c>
      <c r="L567" s="2" t="s">
        <v>19</v>
      </c>
      <c r="M567">
        <v>1</v>
      </c>
      <c r="N567" s="2" t="s">
        <v>33</v>
      </c>
      <c r="O567">
        <v>1</v>
      </c>
    </row>
    <row r="568" spans="1:15" x14ac:dyDescent="0.35">
      <c r="A568" s="2" t="s">
        <v>104</v>
      </c>
      <c r="B568" s="2" t="s">
        <v>56</v>
      </c>
      <c r="C568" s="2" t="s">
        <v>50</v>
      </c>
      <c r="D568" s="2" t="s">
        <v>231</v>
      </c>
      <c r="E568">
        <v>2020</v>
      </c>
      <c r="F568" s="2" t="s">
        <v>6</v>
      </c>
      <c r="G568">
        <v>1</v>
      </c>
      <c r="H568" s="2" t="s">
        <v>9</v>
      </c>
      <c r="I568">
        <v>1</v>
      </c>
      <c r="J568" s="2" t="s">
        <v>16</v>
      </c>
      <c r="K568">
        <v>1</v>
      </c>
      <c r="L568" s="2" t="s">
        <v>19</v>
      </c>
      <c r="M568">
        <v>1</v>
      </c>
      <c r="N568" s="2" t="s">
        <v>35</v>
      </c>
      <c r="O568">
        <v>1</v>
      </c>
    </row>
    <row r="569" spans="1:15" x14ac:dyDescent="0.35">
      <c r="A569" s="2" t="s">
        <v>104</v>
      </c>
      <c r="B569" s="2" t="s">
        <v>56</v>
      </c>
      <c r="C569" s="2" t="s">
        <v>50</v>
      </c>
      <c r="D569" s="2" t="s">
        <v>231</v>
      </c>
      <c r="E569">
        <v>2020</v>
      </c>
      <c r="F569" s="2" t="s">
        <v>6</v>
      </c>
      <c r="G569">
        <v>1</v>
      </c>
      <c r="H569" s="2" t="s">
        <v>9</v>
      </c>
      <c r="I569">
        <v>1</v>
      </c>
      <c r="J569" s="2" t="s">
        <v>16</v>
      </c>
      <c r="K569">
        <v>1</v>
      </c>
      <c r="L569" s="2" t="s">
        <v>22</v>
      </c>
      <c r="M569">
        <v>1</v>
      </c>
      <c r="N569" s="2" t="s">
        <v>32</v>
      </c>
      <c r="O569">
        <v>1</v>
      </c>
    </row>
    <row r="570" spans="1:15" x14ac:dyDescent="0.35">
      <c r="A570" s="2" t="s">
        <v>104</v>
      </c>
      <c r="B570" s="2" t="s">
        <v>56</v>
      </c>
      <c r="C570" s="2" t="s">
        <v>50</v>
      </c>
      <c r="D570" s="2" t="s">
        <v>231</v>
      </c>
      <c r="E570">
        <v>2020</v>
      </c>
      <c r="F570" s="2" t="s">
        <v>6</v>
      </c>
      <c r="G570">
        <v>1</v>
      </c>
      <c r="H570" s="2" t="s">
        <v>9</v>
      </c>
      <c r="I570">
        <v>1</v>
      </c>
      <c r="J570" s="2" t="s">
        <v>16</v>
      </c>
      <c r="K570">
        <v>1</v>
      </c>
      <c r="L570" s="2" t="s">
        <v>22</v>
      </c>
      <c r="M570">
        <v>1</v>
      </c>
      <c r="N570" s="2" t="s">
        <v>33</v>
      </c>
      <c r="O570">
        <v>1</v>
      </c>
    </row>
    <row r="571" spans="1:15" x14ac:dyDescent="0.35">
      <c r="A571" s="2" t="s">
        <v>104</v>
      </c>
      <c r="B571" s="2" t="s">
        <v>56</v>
      </c>
      <c r="C571" s="2" t="s">
        <v>50</v>
      </c>
      <c r="D571" s="2" t="s">
        <v>231</v>
      </c>
      <c r="E571">
        <v>2020</v>
      </c>
      <c r="F571" s="2" t="s">
        <v>6</v>
      </c>
      <c r="G571">
        <v>1</v>
      </c>
      <c r="H571" s="2" t="s">
        <v>9</v>
      </c>
      <c r="I571">
        <v>1</v>
      </c>
      <c r="J571" s="2" t="s">
        <v>16</v>
      </c>
      <c r="K571">
        <v>1</v>
      </c>
      <c r="L571" s="2" t="s">
        <v>22</v>
      </c>
      <c r="M571">
        <v>1</v>
      </c>
      <c r="N571" s="2" t="s">
        <v>35</v>
      </c>
      <c r="O571">
        <v>1</v>
      </c>
    </row>
    <row r="572" spans="1:15" x14ac:dyDescent="0.35">
      <c r="A572" s="2" t="s">
        <v>104</v>
      </c>
      <c r="B572" s="2" t="s">
        <v>56</v>
      </c>
      <c r="C572" s="2" t="s">
        <v>50</v>
      </c>
      <c r="D572" s="2" t="s">
        <v>231</v>
      </c>
      <c r="E572">
        <v>2020</v>
      </c>
      <c r="F572" s="2" t="s">
        <v>6</v>
      </c>
      <c r="G572">
        <v>1</v>
      </c>
      <c r="H572" s="2" t="s">
        <v>9</v>
      </c>
      <c r="I572">
        <v>1</v>
      </c>
      <c r="J572" s="2" t="s">
        <v>17</v>
      </c>
      <c r="K572">
        <v>1</v>
      </c>
      <c r="L572" s="2" t="s">
        <v>19</v>
      </c>
      <c r="M572">
        <v>1</v>
      </c>
      <c r="N572" s="2" t="s">
        <v>32</v>
      </c>
      <c r="O572">
        <v>1</v>
      </c>
    </row>
    <row r="573" spans="1:15" x14ac:dyDescent="0.35">
      <c r="A573" s="2" t="s">
        <v>104</v>
      </c>
      <c r="B573" s="2" t="s">
        <v>56</v>
      </c>
      <c r="C573" s="2" t="s">
        <v>50</v>
      </c>
      <c r="D573" s="2" t="s">
        <v>231</v>
      </c>
      <c r="E573">
        <v>2020</v>
      </c>
      <c r="F573" s="2" t="s">
        <v>6</v>
      </c>
      <c r="G573">
        <v>1</v>
      </c>
      <c r="H573" s="2" t="s">
        <v>9</v>
      </c>
      <c r="I573">
        <v>1</v>
      </c>
      <c r="J573" s="2" t="s">
        <v>17</v>
      </c>
      <c r="K573">
        <v>1</v>
      </c>
      <c r="L573" s="2" t="s">
        <v>19</v>
      </c>
      <c r="M573">
        <v>1</v>
      </c>
      <c r="N573" s="2" t="s">
        <v>33</v>
      </c>
      <c r="O573">
        <v>1</v>
      </c>
    </row>
    <row r="574" spans="1:15" x14ac:dyDescent="0.35">
      <c r="A574" s="2" t="s">
        <v>104</v>
      </c>
      <c r="B574" s="2" t="s">
        <v>56</v>
      </c>
      <c r="C574" s="2" t="s">
        <v>50</v>
      </c>
      <c r="D574" s="2" t="s">
        <v>231</v>
      </c>
      <c r="E574">
        <v>2020</v>
      </c>
      <c r="F574" s="2" t="s">
        <v>6</v>
      </c>
      <c r="G574">
        <v>1</v>
      </c>
      <c r="H574" s="2" t="s">
        <v>9</v>
      </c>
      <c r="I574">
        <v>1</v>
      </c>
      <c r="J574" s="2" t="s">
        <v>17</v>
      </c>
      <c r="K574">
        <v>1</v>
      </c>
      <c r="L574" s="2" t="s">
        <v>19</v>
      </c>
      <c r="M574">
        <v>1</v>
      </c>
      <c r="N574" s="2" t="s">
        <v>35</v>
      </c>
      <c r="O574">
        <v>1</v>
      </c>
    </row>
    <row r="575" spans="1:15" x14ac:dyDescent="0.35">
      <c r="A575" s="2" t="s">
        <v>104</v>
      </c>
      <c r="B575" s="2" t="s">
        <v>56</v>
      </c>
      <c r="C575" s="2" t="s">
        <v>50</v>
      </c>
      <c r="D575" s="2" t="s">
        <v>231</v>
      </c>
      <c r="E575">
        <v>2020</v>
      </c>
      <c r="F575" s="2" t="s">
        <v>6</v>
      </c>
      <c r="G575">
        <v>1</v>
      </c>
      <c r="H575" s="2" t="s">
        <v>9</v>
      </c>
      <c r="I575">
        <v>1</v>
      </c>
      <c r="J575" s="2" t="s">
        <v>17</v>
      </c>
      <c r="K575">
        <v>1</v>
      </c>
      <c r="L575" s="2" t="s">
        <v>22</v>
      </c>
      <c r="M575">
        <v>1</v>
      </c>
      <c r="N575" s="2" t="s">
        <v>32</v>
      </c>
      <c r="O575">
        <v>1</v>
      </c>
    </row>
    <row r="576" spans="1:15" x14ac:dyDescent="0.35">
      <c r="A576" s="2" t="s">
        <v>104</v>
      </c>
      <c r="B576" s="2" t="s">
        <v>56</v>
      </c>
      <c r="C576" s="2" t="s">
        <v>50</v>
      </c>
      <c r="D576" s="2" t="s">
        <v>231</v>
      </c>
      <c r="E576">
        <v>2020</v>
      </c>
      <c r="F576" s="2" t="s">
        <v>6</v>
      </c>
      <c r="G576">
        <v>1</v>
      </c>
      <c r="H576" s="2" t="s">
        <v>9</v>
      </c>
      <c r="I576">
        <v>1</v>
      </c>
      <c r="J576" s="2" t="s">
        <v>17</v>
      </c>
      <c r="K576">
        <v>1</v>
      </c>
      <c r="L576" s="2" t="s">
        <v>22</v>
      </c>
      <c r="M576">
        <v>1</v>
      </c>
      <c r="N576" s="2" t="s">
        <v>33</v>
      </c>
      <c r="O576">
        <v>1</v>
      </c>
    </row>
    <row r="577" spans="1:15" x14ac:dyDescent="0.35">
      <c r="A577" s="2" t="s">
        <v>104</v>
      </c>
      <c r="B577" s="2" t="s">
        <v>56</v>
      </c>
      <c r="C577" s="2" t="s">
        <v>50</v>
      </c>
      <c r="D577" s="2" t="s">
        <v>231</v>
      </c>
      <c r="E577">
        <v>2020</v>
      </c>
      <c r="F577" s="2" t="s">
        <v>6</v>
      </c>
      <c r="G577">
        <v>1</v>
      </c>
      <c r="H577" s="2" t="s">
        <v>9</v>
      </c>
      <c r="I577">
        <v>1</v>
      </c>
      <c r="J577" s="2" t="s">
        <v>17</v>
      </c>
      <c r="K577">
        <v>1</v>
      </c>
      <c r="L577" s="2" t="s">
        <v>22</v>
      </c>
      <c r="M577">
        <v>1</v>
      </c>
      <c r="N577" s="2" t="s">
        <v>35</v>
      </c>
      <c r="O577">
        <v>1</v>
      </c>
    </row>
    <row r="578" spans="1:15" x14ac:dyDescent="0.35">
      <c r="A578" s="2" t="s">
        <v>135</v>
      </c>
      <c r="B578" s="2" t="s">
        <v>49</v>
      </c>
      <c r="C578" s="2" t="s">
        <v>50</v>
      </c>
      <c r="D578" s="2" t="s">
        <v>231</v>
      </c>
      <c r="E578">
        <v>2019</v>
      </c>
      <c r="F578" s="2" t="s">
        <v>6</v>
      </c>
      <c r="G578">
        <v>1</v>
      </c>
      <c r="H578" s="2" t="s">
        <v>9</v>
      </c>
      <c r="I578">
        <v>1</v>
      </c>
      <c r="J578" s="2" t="s">
        <v>15</v>
      </c>
      <c r="K578">
        <v>1</v>
      </c>
      <c r="L578" s="2" t="s">
        <v>19</v>
      </c>
      <c r="M578">
        <v>1</v>
      </c>
      <c r="N578" s="2" t="s">
        <v>35</v>
      </c>
      <c r="O578">
        <v>1</v>
      </c>
    </row>
    <row r="579" spans="1:15" x14ac:dyDescent="0.35">
      <c r="A579" s="2" t="s">
        <v>135</v>
      </c>
      <c r="B579" s="2" t="s">
        <v>49</v>
      </c>
      <c r="C579" s="2" t="s">
        <v>50</v>
      </c>
      <c r="D579" s="2" t="s">
        <v>231</v>
      </c>
      <c r="E579">
        <v>2019</v>
      </c>
      <c r="F579" s="2" t="s">
        <v>6</v>
      </c>
      <c r="G579">
        <v>1</v>
      </c>
      <c r="H579" s="2" t="s">
        <v>9</v>
      </c>
      <c r="I579">
        <v>1</v>
      </c>
      <c r="J579" s="2" t="s">
        <v>15</v>
      </c>
      <c r="K579">
        <v>1</v>
      </c>
      <c r="L579" s="2" t="s">
        <v>19</v>
      </c>
      <c r="M579">
        <v>1</v>
      </c>
      <c r="N579" s="2" t="s">
        <v>45</v>
      </c>
      <c r="O579">
        <v>1</v>
      </c>
    </row>
    <row r="580" spans="1:15" x14ac:dyDescent="0.35">
      <c r="A580" s="2" t="s">
        <v>135</v>
      </c>
      <c r="B580" s="2" t="s">
        <v>49</v>
      </c>
      <c r="C580" s="2" t="s">
        <v>50</v>
      </c>
      <c r="D580" s="2" t="s">
        <v>231</v>
      </c>
      <c r="E580">
        <v>2019</v>
      </c>
      <c r="F580" s="2" t="s">
        <v>6</v>
      </c>
      <c r="G580">
        <v>1</v>
      </c>
      <c r="H580" s="2" t="s">
        <v>9</v>
      </c>
      <c r="I580">
        <v>1</v>
      </c>
      <c r="J580" s="2" t="s">
        <v>16</v>
      </c>
      <c r="K580">
        <v>1</v>
      </c>
      <c r="L580" s="2" t="s">
        <v>19</v>
      </c>
      <c r="M580">
        <v>1</v>
      </c>
      <c r="N580" s="2" t="s">
        <v>35</v>
      </c>
      <c r="O580">
        <v>1</v>
      </c>
    </row>
    <row r="581" spans="1:15" x14ac:dyDescent="0.35">
      <c r="A581" s="2" t="s">
        <v>135</v>
      </c>
      <c r="B581" s="2" t="s">
        <v>49</v>
      </c>
      <c r="C581" s="2" t="s">
        <v>50</v>
      </c>
      <c r="D581" s="2" t="s">
        <v>231</v>
      </c>
      <c r="E581">
        <v>2019</v>
      </c>
      <c r="F581" s="2" t="s">
        <v>6</v>
      </c>
      <c r="G581">
        <v>1</v>
      </c>
      <c r="H581" s="2" t="s">
        <v>9</v>
      </c>
      <c r="I581">
        <v>1</v>
      </c>
      <c r="J581" s="2" t="s">
        <v>16</v>
      </c>
      <c r="K581">
        <v>1</v>
      </c>
      <c r="L581" s="2" t="s">
        <v>19</v>
      </c>
      <c r="M581">
        <v>1</v>
      </c>
      <c r="N581" s="2" t="s">
        <v>45</v>
      </c>
      <c r="O581">
        <v>1</v>
      </c>
    </row>
    <row r="582" spans="1:15" x14ac:dyDescent="0.35">
      <c r="A582" s="2" t="s">
        <v>135</v>
      </c>
      <c r="B582" s="2" t="s">
        <v>49</v>
      </c>
      <c r="C582" s="2" t="s">
        <v>50</v>
      </c>
      <c r="D582" s="2" t="s">
        <v>231</v>
      </c>
      <c r="E582">
        <v>2019</v>
      </c>
      <c r="F582" s="2" t="s">
        <v>6</v>
      </c>
      <c r="G582">
        <v>1</v>
      </c>
      <c r="H582" s="2" t="s">
        <v>9</v>
      </c>
      <c r="I582">
        <v>1</v>
      </c>
      <c r="J582" s="2" t="s">
        <v>17</v>
      </c>
      <c r="K582">
        <v>1</v>
      </c>
      <c r="L582" s="2" t="s">
        <v>19</v>
      </c>
      <c r="M582">
        <v>1</v>
      </c>
      <c r="N582" s="2" t="s">
        <v>35</v>
      </c>
      <c r="O582">
        <v>1</v>
      </c>
    </row>
    <row r="583" spans="1:15" x14ac:dyDescent="0.35">
      <c r="A583" s="2" t="s">
        <v>135</v>
      </c>
      <c r="B583" s="2" t="s">
        <v>49</v>
      </c>
      <c r="C583" s="2" t="s">
        <v>50</v>
      </c>
      <c r="D583" s="2" t="s">
        <v>231</v>
      </c>
      <c r="E583">
        <v>2019</v>
      </c>
      <c r="F583" s="2" t="s">
        <v>6</v>
      </c>
      <c r="G583">
        <v>1</v>
      </c>
      <c r="H583" s="2" t="s">
        <v>9</v>
      </c>
      <c r="I583">
        <v>1</v>
      </c>
      <c r="J583" s="2" t="s">
        <v>17</v>
      </c>
      <c r="K583">
        <v>1</v>
      </c>
      <c r="L583" s="2" t="s">
        <v>19</v>
      </c>
      <c r="M583">
        <v>1</v>
      </c>
      <c r="N583" s="2" t="s">
        <v>45</v>
      </c>
      <c r="O583">
        <v>1</v>
      </c>
    </row>
    <row r="584" spans="1:15" x14ac:dyDescent="0.35">
      <c r="A584" s="2" t="s">
        <v>158</v>
      </c>
      <c r="B584" s="2" t="s">
        <v>49</v>
      </c>
      <c r="C584" s="2" t="s">
        <v>50</v>
      </c>
      <c r="D584" s="2" t="s">
        <v>231</v>
      </c>
      <c r="E584">
        <v>2016</v>
      </c>
      <c r="F584" s="2" t="s">
        <v>6</v>
      </c>
      <c r="G584">
        <v>1</v>
      </c>
      <c r="H584" s="2" t="s">
        <v>9</v>
      </c>
      <c r="I584">
        <v>1</v>
      </c>
      <c r="J584" s="2" t="s">
        <v>15</v>
      </c>
      <c r="K584">
        <v>1</v>
      </c>
      <c r="L584" s="2" t="s">
        <v>19</v>
      </c>
      <c r="M584">
        <v>1</v>
      </c>
      <c r="N584" s="2" t="s">
        <v>31</v>
      </c>
      <c r="O584">
        <v>1</v>
      </c>
    </row>
    <row r="585" spans="1:15" x14ac:dyDescent="0.35">
      <c r="A585" s="2" t="s">
        <v>158</v>
      </c>
      <c r="B585" s="2" t="s">
        <v>49</v>
      </c>
      <c r="C585" s="2" t="s">
        <v>50</v>
      </c>
      <c r="D585" s="2" t="s">
        <v>231</v>
      </c>
      <c r="E585">
        <v>2016</v>
      </c>
      <c r="F585" s="2" t="s">
        <v>6</v>
      </c>
      <c r="G585">
        <v>1</v>
      </c>
      <c r="H585" s="2" t="s">
        <v>9</v>
      </c>
      <c r="I585">
        <v>1</v>
      </c>
      <c r="J585" s="2" t="s">
        <v>15</v>
      </c>
      <c r="K585">
        <v>1</v>
      </c>
      <c r="L585" s="2" t="s">
        <v>19</v>
      </c>
      <c r="M585">
        <v>1</v>
      </c>
      <c r="N585" s="2" t="s">
        <v>32</v>
      </c>
      <c r="O585">
        <v>1</v>
      </c>
    </row>
    <row r="586" spans="1:15" x14ac:dyDescent="0.35">
      <c r="A586" s="2" t="s">
        <v>158</v>
      </c>
      <c r="B586" s="2" t="s">
        <v>49</v>
      </c>
      <c r="C586" s="2" t="s">
        <v>50</v>
      </c>
      <c r="D586" s="2" t="s">
        <v>231</v>
      </c>
      <c r="E586">
        <v>2016</v>
      </c>
      <c r="F586" s="2" t="s">
        <v>6</v>
      </c>
      <c r="G586">
        <v>1</v>
      </c>
      <c r="H586" s="2" t="s">
        <v>9</v>
      </c>
      <c r="I586">
        <v>1</v>
      </c>
      <c r="J586" s="2" t="s">
        <v>15</v>
      </c>
      <c r="K586">
        <v>1</v>
      </c>
      <c r="L586" s="2" t="s">
        <v>19</v>
      </c>
      <c r="M586">
        <v>1</v>
      </c>
      <c r="N586" s="2" t="s">
        <v>35</v>
      </c>
      <c r="O586">
        <v>1</v>
      </c>
    </row>
    <row r="587" spans="1:15" x14ac:dyDescent="0.35">
      <c r="A587" s="2" t="s">
        <v>158</v>
      </c>
      <c r="B587" s="2" t="s">
        <v>49</v>
      </c>
      <c r="C587" s="2" t="s">
        <v>50</v>
      </c>
      <c r="D587" s="2" t="s">
        <v>231</v>
      </c>
      <c r="E587">
        <v>2016</v>
      </c>
      <c r="F587" s="2" t="s">
        <v>6</v>
      </c>
      <c r="G587">
        <v>1</v>
      </c>
      <c r="H587" s="2" t="s">
        <v>9</v>
      </c>
      <c r="I587">
        <v>1</v>
      </c>
      <c r="J587" s="2" t="s">
        <v>15</v>
      </c>
      <c r="K587">
        <v>1</v>
      </c>
      <c r="L587" s="2" t="s">
        <v>19</v>
      </c>
      <c r="M587">
        <v>1</v>
      </c>
      <c r="N587" s="2" t="s">
        <v>44</v>
      </c>
      <c r="O587">
        <v>1</v>
      </c>
    </row>
    <row r="588" spans="1:15" x14ac:dyDescent="0.35">
      <c r="A588" s="2" t="s">
        <v>181</v>
      </c>
      <c r="B588" s="2" t="s">
        <v>49</v>
      </c>
      <c r="C588" s="2" t="s">
        <v>50</v>
      </c>
      <c r="D588" s="2" t="s">
        <v>231</v>
      </c>
      <c r="E588">
        <v>2020</v>
      </c>
      <c r="F588" s="2" t="s">
        <v>6</v>
      </c>
      <c r="G588">
        <v>1</v>
      </c>
      <c r="H588" s="2" t="s">
        <v>10</v>
      </c>
      <c r="I588">
        <v>1</v>
      </c>
      <c r="J588" s="2" t="s">
        <v>14</v>
      </c>
      <c r="K588">
        <v>1</v>
      </c>
      <c r="L588" s="2" t="s">
        <v>22</v>
      </c>
      <c r="M588">
        <v>1</v>
      </c>
      <c r="N588" s="2" t="s">
        <v>37</v>
      </c>
      <c r="O588">
        <v>1</v>
      </c>
    </row>
    <row r="589" spans="1:15" x14ac:dyDescent="0.35">
      <c r="A589" s="2" t="s">
        <v>181</v>
      </c>
      <c r="B589" s="2" t="s">
        <v>49</v>
      </c>
      <c r="C589" s="2" t="s">
        <v>50</v>
      </c>
      <c r="D589" s="2" t="s">
        <v>231</v>
      </c>
      <c r="E589">
        <v>2020</v>
      </c>
      <c r="F589" s="2" t="s">
        <v>6</v>
      </c>
      <c r="G589">
        <v>1</v>
      </c>
      <c r="H589" s="2" t="s">
        <v>10</v>
      </c>
      <c r="I589">
        <v>1</v>
      </c>
      <c r="J589" s="2" t="s">
        <v>14</v>
      </c>
      <c r="K589">
        <v>1</v>
      </c>
      <c r="L589" s="2" t="s">
        <v>22</v>
      </c>
      <c r="M589">
        <v>1</v>
      </c>
      <c r="N589" s="2" t="s">
        <v>40</v>
      </c>
      <c r="O589">
        <v>1</v>
      </c>
    </row>
    <row r="590" spans="1:15" x14ac:dyDescent="0.35">
      <c r="A590" s="2" t="s">
        <v>181</v>
      </c>
      <c r="B590" s="2" t="s">
        <v>49</v>
      </c>
      <c r="C590" s="2" t="s">
        <v>50</v>
      </c>
      <c r="D590" s="2" t="s">
        <v>231</v>
      </c>
      <c r="E590">
        <v>2020</v>
      </c>
      <c r="F590" s="2" t="s">
        <v>6</v>
      </c>
      <c r="G590">
        <v>1</v>
      </c>
      <c r="H590" s="2" t="s">
        <v>10</v>
      </c>
      <c r="I590">
        <v>1</v>
      </c>
      <c r="J590" s="2" t="s">
        <v>14</v>
      </c>
      <c r="K590">
        <v>1</v>
      </c>
      <c r="L590" s="2" t="s">
        <v>22</v>
      </c>
      <c r="M590">
        <v>1</v>
      </c>
      <c r="N590" s="2" t="s">
        <v>41</v>
      </c>
      <c r="O590">
        <v>1</v>
      </c>
    </row>
    <row r="591" spans="1:15" x14ac:dyDescent="0.35">
      <c r="A591" s="2" t="s">
        <v>181</v>
      </c>
      <c r="B591" s="2" t="s">
        <v>49</v>
      </c>
      <c r="C591" s="2" t="s">
        <v>50</v>
      </c>
      <c r="D591" s="2" t="s">
        <v>231</v>
      </c>
      <c r="E591">
        <v>2020</v>
      </c>
      <c r="F591" s="2" t="s">
        <v>6</v>
      </c>
      <c r="G591">
        <v>1</v>
      </c>
      <c r="H591" s="2" t="s">
        <v>10</v>
      </c>
      <c r="I591">
        <v>1</v>
      </c>
      <c r="J591" s="2" t="s">
        <v>14</v>
      </c>
      <c r="K591">
        <v>1</v>
      </c>
      <c r="L591" s="2" t="s">
        <v>22</v>
      </c>
      <c r="M591">
        <v>1</v>
      </c>
      <c r="N591" s="2" t="s">
        <v>46</v>
      </c>
      <c r="O591">
        <v>1</v>
      </c>
    </row>
    <row r="592" spans="1:15" x14ac:dyDescent="0.35">
      <c r="A592" s="2" t="s">
        <v>181</v>
      </c>
      <c r="B592" s="2" t="s">
        <v>49</v>
      </c>
      <c r="C592" s="2" t="s">
        <v>50</v>
      </c>
      <c r="D592" s="2" t="s">
        <v>231</v>
      </c>
      <c r="E592">
        <v>2020</v>
      </c>
      <c r="F592" s="2" t="s">
        <v>6</v>
      </c>
      <c r="G592">
        <v>1</v>
      </c>
      <c r="H592" s="2" t="s">
        <v>10</v>
      </c>
      <c r="I592">
        <v>1</v>
      </c>
      <c r="J592" s="2" t="s">
        <v>14</v>
      </c>
      <c r="K592">
        <v>1</v>
      </c>
      <c r="L592" s="2" t="s">
        <v>24</v>
      </c>
      <c r="M592">
        <v>1</v>
      </c>
      <c r="N592" s="2" t="s">
        <v>37</v>
      </c>
      <c r="O592">
        <v>1</v>
      </c>
    </row>
    <row r="593" spans="1:15" x14ac:dyDescent="0.35">
      <c r="A593" s="2" t="s">
        <v>181</v>
      </c>
      <c r="B593" s="2" t="s">
        <v>49</v>
      </c>
      <c r="C593" s="2" t="s">
        <v>50</v>
      </c>
      <c r="D593" s="2" t="s">
        <v>231</v>
      </c>
      <c r="E593">
        <v>2020</v>
      </c>
      <c r="F593" s="2" t="s">
        <v>6</v>
      </c>
      <c r="G593">
        <v>1</v>
      </c>
      <c r="H593" s="2" t="s">
        <v>10</v>
      </c>
      <c r="I593">
        <v>1</v>
      </c>
      <c r="J593" s="2" t="s">
        <v>14</v>
      </c>
      <c r="K593">
        <v>1</v>
      </c>
      <c r="L593" s="2" t="s">
        <v>24</v>
      </c>
      <c r="M593">
        <v>1</v>
      </c>
      <c r="N593" s="2" t="s">
        <v>40</v>
      </c>
      <c r="O593">
        <v>1</v>
      </c>
    </row>
    <row r="594" spans="1:15" x14ac:dyDescent="0.35">
      <c r="A594" s="2" t="s">
        <v>181</v>
      </c>
      <c r="B594" s="2" t="s">
        <v>49</v>
      </c>
      <c r="C594" s="2" t="s">
        <v>50</v>
      </c>
      <c r="D594" s="2" t="s">
        <v>231</v>
      </c>
      <c r="E594">
        <v>2020</v>
      </c>
      <c r="F594" s="2" t="s">
        <v>6</v>
      </c>
      <c r="G594">
        <v>1</v>
      </c>
      <c r="H594" s="2" t="s">
        <v>10</v>
      </c>
      <c r="I594">
        <v>1</v>
      </c>
      <c r="J594" s="2" t="s">
        <v>14</v>
      </c>
      <c r="K594">
        <v>1</v>
      </c>
      <c r="L594" s="2" t="s">
        <v>24</v>
      </c>
      <c r="M594">
        <v>1</v>
      </c>
      <c r="N594" s="2" t="s">
        <v>41</v>
      </c>
      <c r="O594">
        <v>1</v>
      </c>
    </row>
    <row r="595" spans="1:15" x14ac:dyDescent="0.35">
      <c r="A595" s="2" t="s">
        <v>181</v>
      </c>
      <c r="B595" s="2" t="s">
        <v>49</v>
      </c>
      <c r="C595" s="2" t="s">
        <v>50</v>
      </c>
      <c r="D595" s="2" t="s">
        <v>231</v>
      </c>
      <c r="E595">
        <v>2020</v>
      </c>
      <c r="F595" s="2" t="s">
        <v>6</v>
      </c>
      <c r="G595">
        <v>1</v>
      </c>
      <c r="H595" s="2" t="s">
        <v>10</v>
      </c>
      <c r="I595">
        <v>1</v>
      </c>
      <c r="J595" s="2" t="s">
        <v>14</v>
      </c>
      <c r="K595">
        <v>1</v>
      </c>
      <c r="L595" s="2" t="s">
        <v>24</v>
      </c>
      <c r="M595">
        <v>1</v>
      </c>
      <c r="N595" s="2" t="s">
        <v>46</v>
      </c>
      <c r="O595">
        <v>1</v>
      </c>
    </row>
    <row r="596" spans="1:15" x14ac:dyDescent="0.35">
      <c r="A596" s="2" t="s">
        <v>190</v>
      </c>
      <c r="B596" s="2" t="s">
        <v>49</v>
      </c>
      <c r="C596" s="2" t="s">
        <v>50</v>
      </c>
      <c r="D596" s="2" t="s">
        <v>231</v>
      </c>
      <c r="E596">
        <v>2018</v>
      </c>
      <c r="F596" s="2" t="s">
        <v>6</v>
      </c>
      <c r="G596">
        <v>1</v>
      </c>
      <c r="H596" s="2" t="s">
        <v>10</v>
      </c>
      <c r="I596">
        <v>1</v>
      </c>
      <c r="J596" s="2" t="s">
        <v>15</v>
      </c>
      <c r="K596">
        <v>1</v>
      </c>
      <c r="L596" s="2" t="s">
        <v>24</v>
      </c>
      <c r="M596">
        <v>1</v>
      </c>
      <c r="N596" s="2" t="s">
        <v>32</v>
      </c>
      <c r="O596">
        <v>1</v>
      </c>
    </row>
    <row r="597" spans="1:15" x14ac:dyDescent="0.35">
      <c r="A597" s="2" t="s">
        <v>190</v>
      </c>
      <c r="B597" s="2" t="s">
        <v>49</v>
      </c>
      <c r="C597" s="2" t="s">
        <v>50</v>
      </c>
      <c r="D597" s="2" t="s">
        <v>231</v>
      </c>
      <c r="E597">
        <v>2018</v>
      </c>
      <c r="F597" s="2" t="s">
        <v>6</v>
      </c>
      <c r="G597">
        <v>1</v>
      </c>
      <c r="H597" s="2" t="s">
        <v>10</v>
      </c>
      <c r="I597">
        <v>1</v>
      </c>
      <c r="J597" s="2" t="s">
        <v>15</v>
      </c>
      <c r="K597">
        <v>1</v>
      </c>
      <c r="L597" s="2" t="s">
        <v>24</v>
      </c>
      <c r="M597">
        <v>1</v>
      </c>
      <c r="N597" s="2" t="s">
        <v>35</v>
      </c>
      <c r="O597">
        <v>1</v>
      </c>
    </row>
    <row r="598" spans="1:15" x14ac:dyDescent="0.35">
      <c r="A598" s="2" t="s">
        <v>190</v>
      </c>
      <c r="B598" s="2" t="s">
        <v>49</v>
      </c>
      <c r="C598" s="2" t="s">
        <v>50</v>
      </c>
      <c r="D598" s="2" t="s">
        <v>231</v>
      </c>
      <c r="E598">
        <v>2018</v>
      </c>
      <c r="F598" s="2" t="s">
        <v>6</v>
      </c>
      <c r="G598">
        <v>1</v>
      </c>
      <c r="H598" s="2" t="s">
        <v>10</v>
      </c>
      <c r="I598">
        <v>1</v>
      </c>
      <c r="J598" s="2" t="s">
        <v>15</v>
      </c>
      <c r="K598">
        <v>1</v>
      </c>
      <c r="L598" s="2" t="s">
        <v>24</v>
      </c>
      <c r="M598">
        <v>1</v>
      </c>
      <c r="N598" s="2" t="s">
        <v>37</v>
      </c>
      <c r="O598">
        <v>1</v>
      </c>
    </row>
    <row r="599" spans="1:15" x14ac:dyDescent="0.35">
      <c r="A599" s="2" t="s">
        <v>190</v>
      </c>
      <c r="B599" s="2" t="s">
        <v>49</v>
      </c>
      <c r="C599" s="2" t="s">
        <v>50</v>
      </c>
      <c r="D599" s="2" t="s">
        <v>231</v>
      </c>
      <c r="E599">
        <v>2018</v>
      </c>
      <c r="F599" s="2" t="s">
        <v>6</v>
      </c>
      <c r="G599">
        <v>1</v>
      </c>
      <c r="H599" s="2" t="s">
        <v>10</v>
      </c>
      <c r="I599">
        <v>1</v>
      </c>
      <c r="J599" s="2" t="s">
        <v>15</v>
      </c>
      <c r="K599">
        <v>1</v>
      </c>
      <c r="L599" s="2" t="s">
        <v>24</v>
      </c>
      <c r="M599">
        <v>1</v>
      </c>
      <c r="N599" s="2" t="s">
        <v>38</v>
      </c>
      <c r="O599">
        <v>1</v>
      </c>
    </row>
    <row r="600" spans="1:15" x14ac:dyDescent="0.35">
      <c r="A600" s="2" t="s">
        <v>190</v>
      </c>
      <c r="B600" s="2" t="s">
        <v>49</v>
      </c>
      <c r="C600" s="2" t="s">
        <v>50</v>
      </c>
      <c r="D600" s="2" t="s">
        <v>231</v>
      </c>
      <c r="E600">
        <v>2018</v>
      </c>
      <c r="F600" s="2" t="s">
        <v>6</v>
      </c>
      <c r="G600">
        <v>1</v>
      </c>
      <c r="H600" s="2" t="s">
        <v>10</v>
      </c>
      <c r="I600">
        <v>1</v>
      </c>
      <c r="J600" s="2" t="s">
        <v>15</v>
      </c>
      <c r="K600">
        <v>1</v>
      </c>
      <c r="L600" s="2" t="s">
        <v>24</v>
      </c>
      <c r="M600">
        <v>1</v>
      </c>
      <c r="N600" s="2" t="s">
        <v>44</v>
      </c>
      <c r="O600">
        <v>1</v>
      </c>
    </row>
    <row r="601" spans="1:15" x14ac:dyDescent="0.35">
      <c r="A601" s="2" t="s">
        <v>190</v>
      </c>
      <c r="B601" s="2" t="s">
        <v>49</v>
      </c>
      <c r="C601" s="2" t="s">
        <v>50</v>
      </c>
      <c r="D601" s="2" t="s">
        <v>231</v>
      </c>
      <c r="E601">
        <v>2018</v>
      </c>
      <c r="F601" s="2" t="s">
        <v>6</v>
      </c>
      <c r="G601">
        <v>1</v>
      </c>
      <c r="H601" s="2" t="s">
        <v>10</v>
      </c>
      <c r="I601">
        <v>1</v>
      </c>
      <c r="J601" s="2" t="s">
        <v>16</v>
      </c>
      <c r="K601">
        <v>1</v>
      </c>
      <c r="L601" s="2" t="s">
        <v>24</v>
      </c>
      <c r="M601">
        <v>1</v>
      </c>
      <c r="N601" s="2" t="s">
        <v>32</v>
      </c>
      <c r="O601">
        <v>1</v>
      </c>
    </row>
    <row r="602" spans="1:15" x14ac:dyDescent="0.35">
      <c r="A602" s="2" t="s">
        <v>190</v>
      </c>
      <c r="B602" s="2" t="s">
        <v>49</v>
      </c>
      <c r="C602" s="2" t="s">
        <v>50</v>
      </c>
      <c r="D602" s="2" t="s">
        <v>231</v>
      </c>
      <c r="E602">
        <v>2018</v>
      </c>
      <c r="F602" s="2" t="s">
        <v>6</v>
      </c>
      <c r="G602">
        <v>1</v>
      </c>
      <c r="H602" s="2" t="s">
        <v>10</v>
      </c>
      <c r="I602">
        <v>1</v>
      </c>
      <c r="J602" s="2" t="s">
        <v>16</v>
      </c>
      <c r="K602">
        <v>1</v>
      </c>
      <c r="L602" s="2" t="s">
        <v>24</v>
      </c>
      <c r="M602">
        <v>1</v>
      </c>
      <c r="N602" s="2" t="s">
        <v>35</v>
      </c>
      <c r="O602">
        <v>1</v>
      </c>
    </row>
    <row r="603" spans="1:15" x14ac:dyDescent="0.35">
      <c r="A603" s="2" t="s">
        <v>190</v>
      </c>
      <c r="B603" s="2" t="s">
        <v>49</v>
      </c>
      <c r="C603" s="2" t="s">
        <v>50</v>
      </c>
      <c r="D603" s="2" t="s">
        <v>231</v>
      </c>
      <c r="E603">
        <v>2018</v>
      </c>
      <c r="F603" s="2" t="s">
        <v>6</v>
      </c>
      <c r="G603">
        <v>1</v>
      </c>
      <c r="H603" s="2" t="s">
        <v>10</v>
      </c>
      <c r="I603">
        <v>1</v>
      </c>
      <c r="J603" s="2" t="s">
        <v>16</v>
      </c>
      <c r="K603">
        <v>1</v>
      </c>
      <c r="L603" s="2" t="s">
        <v>24</v>
      </c>
      <c r="M603">
        <v>1</v>
      </c>
      <c r="N603" s="2" t="s">
        <v>37</v>
      </c>
      <c r="O603">
        <v>1</v>
      </c>
    </row>
    <row r="604" spans="1:15" x14ac:dyDescent="0.35">
      <c r="A604" s="2" t="s">
        <v>190</v>
      </c>
      <c r="B604" s="2" t="s">
        <v>49</v>
      </c>
      <c r="C604" s="2" t="s">
        <v>50</v>
      </c>
      <c r="D604" s="2" t="s">
        <v>231</v>
      </c>
      <c r="E604">
        <v>2018</v>
      </c>
      <c r="F604" s="2" t="s">
        <v>6</v>
      </c>
      <c r="G604">
        <v>1</v>
      </c>
      <c r="H604" s="2" t="s">
        <v>10</v>
      </c>
      <c r="I604">
        <v>1</v>
      </c>
      <c r="J604" s="2" t="s">
        <v>16</v>
      </c>
      <c r="K604">
        <v>1</v>
      </c>
      <c r="L604" s="2" t="s">
        <v>24</v>
      </c>
      <c r="M604">
        <v>1</v>
      </c>
      <c r="N604" s="2" t="s">
        <v>38</v>
      </c>
      <c r="O604">
        <v>1</v>
      </c>
    </row>
    <row r="605" spans="1:15" x14ac:dyDescent="0.35">
      <c r="A605" s="2" t="s">
        <v>190</v>
      </c>
      <c r="B605" s="2" t="s">
        <v>49</v>
      </c>
      <c r="C605" s="2" t="s">
        <v>50</v>
      </c>
      <c r="D605" s="2" t="s">
        <v>231</v>
      </c>
      <c r="E605">
        <v>2018</v>
      </c>
      <c r="F605" s="2" t="s">
        <v>6</v>
      </c>
      <c r="G605">
        <v>1</v>
      </c>
      <c r="H605" s="2" t="s">
        <v>10</v>
      </c>
      <c r="I605">
        <v>1</v>
      </c>
      <c r="J605" s="2" t="s">
        <v>16</v>
      </c>
      <c r="K605">
        <v>1</v>
      </c>
      <c r="L605" s="2" t="s">
        <v>24</v>
      </c>
      <c r="M605">
        <v>1</v>
      </c>
      <c r="N605" s="2" t="s">
        <v>44</v>
      </c>
      <c r="O605">
        <v>1</v>
      </c>
    </row>
    <row r="606" spans="1:15" x14ac:dyDescent="0.35">
      <c r="A606" s="2" t="s">
        <v>75</v>
      </c>
      <c r="B606" s="2" t="s">
        <v>56</v>
      </c>
      <c r="C606" s="2" t="s">
        <v>50</v>
      </c>
      <c r="D606" s="2" t="s">
        <v>231</v>
      </c>
      <c r="E606">
        <v>2011</v>
      </c>
      <c r="F606" s="2" t="s">
        <v>4</v>
      </c>
      <c r="G606">
        <v>1</v>
      </c>
      <c r="H606" s="2" t="s">
        <v>9</v>
      </c>
      <c r="I606">
        <v>1</v>
      </c>
      <c r="J606" s="2" t="s">
        <v>14</v>
      </c>
      <c r="K606">
        <v>1</v>
      </c>
      <c r="L606" s="2" t="s">
        <v>19</v>
      </c>
      <c r="M606">
        <v>1</v>
      </c>
      <c r="N606" s="2" t="s">
        <v>32</v>
      </c>
      <c r="O606">
        <v>1</v>
      </c>
    </row>
    <row r="607" spans="1:15" x14ac:dyDescent="0.35">
      <c r="A607" s="2" t="s">
        <v>75</v>
      </c>
      <c r="B607" s="2" t="s">
        <v>56</v>
      </c>
      <c r="C607" s="2" t="s">
        <v>50</v>
      </c>
      <c r="D607" s="2" t="s">
        <v>231</v>
      </c>
      <c r="E607">
        <v>2011</v>
      </c>
      <c r="F607" s="2" t="s">
        <v>4</v>
      </c>
      <c r="G607">
        <v>1</v>
      </c>
      <c r="H607" s="2" t="s">
        <v>9</v>
      </c>
      <c r="I607">
        <v>1</v>
      </c>
      <c r="J607" s="2" t="s">
        <v>16</v>
      </c>
      <c r="K607">
        <v>1</v>
      </c>
      <c r="L607" s="2" t="s">
        <v>19</v>
      </c>
      <c r="M607">
        <v>1</v>
      </c>
      <c r="N607" s="2" t="s">
        <v>32</v>
      </c>
      <c r="O607">
        <v>1</v>
      </c>
    </row>
    <row r="608" spans="1:15" x14ac:dyDescent="0.35">
      <c r="A608" s="2" t="s">
        <v>84</v>
      </c>
      <c r="B608" s="2" t="s">
        <v>56</v>
      </c>
      <c r="C608" s="2" t="s">
        <v>50</v>
      </c>
      <c r="D608" s="2" t="s">
        <v>231</v>
      </c>
      <c r="E608">
        <v>2021</v>
      </c>
      <c r="F608" s="2" t="s">
        <v>2</v>
      </c>
      <c r="G608">
        <v>1</v>
      </c>
      <c r="H608" s="2" t="s">
        <v>9</v>
      </c>
      <c r="I608">
        <v>1</v>
      </c>
      <c r="J608" s="2" t="s">
        <v>15</v>
      </c>
      <c r="K608">
        <v>1</v>
      </c>
      <c r="L608" s="2" t="s">
        <v>19</v>
      </c>
      <c r="M608">
        <v>1</v>
      </c>
      <c r="N608" s="2" t="s">
        <v>32</v>
      </c>
      <c r="O608">
        <v>1</v>
      </c>
    </row>
    <row r="609" spans="1:15" x14ac:dyDescent="0.35">
      <c r="A609" s="2" t="s">
        <v>84</v>
      </c>
      <c r="B609" s="2" t="s">
        <v>56</v>
      </c>
      <c r="C609" s="2" t="s">
        <v>50</v>
      </c>
      <c r="D609" s="2" t="s">
        <v>231</v>
      </c>
      <c r="E609">
        <v>2021</v>
      </c>
      <c r="F609" s="2" t="s">
        <v>2</v>
      </c>
      <c r="G609">
        <v>1</v>
      </c>
      <c r="H609" s="2" t="s">
        <v>9</v>
      </c>
      <c r="I609">
        <v>1</v>
      </c>
      <c r="J609" s="2" t="s">
        <v>15</v>
      </c>
      <c r="K609">
        <v>1</v>
      </c>
      <c r="L609" s="2" t="s">
        <v>19</v>
      </c>
      <c r="M609">
        <v>1</v>
      </c>
      <c r="N609" s="2" t="s">
        <v>33</v>
      </c>
      <c r="O609">
        <v>1</v>
      </c>
    </row>
    <row r="610" spans="1:15" x14ac:dyDescent="0.35">
      <c r="A610" s="2" t="s">
        <v>84</v>
      </c>
      <c r="B610" s="2" t="s">
        <v>56</v>
      </c>
      <c r="C610" s="2" t="s">
        <v>50</v>
      </c>
      <c r="D610" s="2" t="s">
        <v>231</v>
      </c>
      <c r="E610">
        <v>2021</v>
      </c>
      <c r="F610" s="2" t="s">
        <v>2</v>
      </c>
      <c r="G610">
        <v>1</v>
      </c>
      <c r="H610" s="2" t="s">
        <v>9</v>
      </c>
      <c r="I610">
        <v>1</v>
      </c>
      <c r="J610" s="2" t="s">
        <v>15</v>
      </c>
      <c r="K610">
        <v>1</v>
      </c>
      <c r="L610" s="2" t="s">
        <v>23</v>
      </c>
      <c r="M610">
        <v>1</v>
      </c>
      <c r="N610" s="2" t="s">
        <v>32</v>
      </c>
      <c r="O610">
        <v>1</v>
      </c>
    </row>
    <row r="611" spans="1:15" x14ac:dyDescent="0.35">
      <c r="A611" s="2" t="s">
        <v>84</v>
      </c>
      <c r="B611" s="2" t="s">
        <v>56</v>
      </c>
      <c r="C611" s="2" t="s">
        <v>50</v>
      </c>
      <c r="D611" s="2" t="s">
        <v>231</v>
      </c>
      <c r="E611">
        <v>2021</v>
      </c>
      <c r="F611" s="2" t="s">
        <v>2</v>
      </c>
      <c r="G611">
        <v>1</v>
      </c>
      <c r="H611" s="2" t="s">
        <v>9</v>
      </c>
      <c r="I611">
        <v>1</v>
      </c>
      <c r="J611" s="2" t="s">
        <v>15</v>
      </c>
      <c r="K611">
        <v>1</v>
      </c>
      <c r="L611" s="2" t="s">
        <v>23</v>
      </c>
      <c r="M611">
        <v>1</v>
      </c>
      <c r="N611" s="2" t="s">
        <v>33</v>
      </c>
      <c r="O611">
        <v>1</v>
      </c>
    </row>
    <row r="612" spans="1:15" x14ac:dyDescent="0.35">
      <c r="A612" s="2" t="s">
        <v>84</v>
      </c>
      <c r="B612" s="2" t="s">
        <v>56</v>
      </c>
      <c r="C612" s="2" t="s">
        <v>50</v>
      </c>
      <c r="D612" s="2" t="s">
        <v>231</v>
      </c>
      <c r="E612">
        <v>2021</v>
      </c>
      <c r="F612" s="2" t="s">
        <v>2</v>
      </c>
      <c r="G612">
        <v>1</v>
      </c>
      <c r="H612" s="2" t="s">
        <v>9</v>
      </c>
      <c r="I612">
        <v>1</v>
      </c>
      <c r="J612" s="2" t="s">
        <v>16</v>
      </c>
      <c r="K612">
        <v>1</v>
      </c>
      <c r="L612" s="2" t="s">
        <v>19</v>
      </c>
      <c r="M612">
        <v>1</v>
      </c>
      <c r="N612" s="2" t="s">
        <v>32</v>
      </c>
      <c r="O612">
        <v>1</v>
      </c>
    </row>
    <row r="613" spans="1:15" x14ac:dyDescent="0.35">
      <c r="A613" s="2" t="s">
        <v>84</v>
      </c>
      <c r="B613" s="2" t="s">
        <v>56</v>
      </c>
      <c r="C613" s="2" t="s">
        <v>50</v>
      </c>
      <c r="D613" s="2" t="s">
        <v>231</v>
      </c>
      <c r="E613">
        <v>2021</v>
      </c>
      <c r="F613" s="2" t="s">
        <v>2</v>
      </c>
      <c r="G613">
        <v>1</v>
      </c>
      <c r="H613" s="2" t="s">
        <v>9</v>
      </c>
      <c r="I613">
        <v>1</v>
      </c>
      <c r="J613" s="2" t="s">
        <v>16</v>
      </c>
      <c r="K613">
        <v>1</v>
      </c>
      <c r="L613" s="2" t="s">
        <v>19</v>
      </c>
      <c r="M613">
        <v>1</v>
      </c>
      <c r="N613" s="2" t="s">
        <v>33</v>
      </c>
      <c r="O613">
        <v>1</v>
      </c>
    </row>
    <row r="614" spans="1:15" x14ac:dyDescent="0.35">
      <c r="A614" s="2" t="s">
        <v>84</v>
      </c>
      <c r="B614" s="2" t="s">
        <v>56</v>
      </c>
      <c r="C614" s="2" t="s">
        <v>50</v>
      </c>
      <c r="D614" s="2" t="s">
        <v>231</v>
      </c>
      <c r="E614">
        <v>2021</v>
      </c>
      <c r="F614" s="2" t="s">
        <v>2</v>
      </c>
      <c r="G614">
        <v>1</v>
      </c>
      <c r="H614" s="2" t="s">
        <v>9</v>
      </c>
      <c r="I614">
        <v>1</v>
      </c>
      <c r="J614" s="2" t="s">
        <v>16</v>
      </c>
      <c r="K614">
        <v>1</v>
      </c>
      <c r="L614" s="2" t="s">
        <v>23</v>
      </c>
      <c r="M614">
        <v>1</v>
      </c>
      <c r="N614" s="2" t="s">
        <v>32</v>
      </c>
      <c r="O614">
        <v>1</v>
      </c>
    </row>
    <row r="615" spans="1:15" x14ac:dyDescent="0.35">
      <c r="A615" s="2" t="s">
        <v>84</v>
      </c>
      <c r="B615" s="2" t="s">
        <v>56</v>
      </c>
      <c r="C615" s="2" t="s">
        <v>50</v>
      </c>
      <c r="D615" s="2" t="s">
        <v>231</v>
      </c>
      <c r="E615">
        <v>2021</v>
      </c>
      <c r="F615" s="2" t="s">
        <v>2</v>
      </c>
      <c r="G615">
        <v>1</v>
      </c>
      <c r="H615" s="2" t="s">
        <v>9</v>
      </c>
      <c r="I615">
        <v>1</v>
      </c>
      <c r="J615" s="2" t="s">
        <v>16</v>
      </c>
      <c r="K615">
        <v>1</v>
      </c>
      <c r="L615" s="2" t="s">
        <v>23</v>
      </c>
      <c r="M615">
        <v>1</v>
      </c>
      <c r="N615" s="2" t="s">
        <v>33</v>
      </c>
      <c r="O615">
        <v>1</v>
      </c>
    </row>
    <row r="616" spans="1:15" x14ac:dyDescent="0.35">
      <c r="A616" s="2" t="s">
        <v>90</v>
      </c>
      <c r="B616" s="2" t="s">
        <v>56</v>
      </c>
      <c r="C616" s="2" t="s">
        <v>50</v>
      </c>
      <c r="D616" s="2" t="s">
        <v>231</v>
      </c>
      <c r="E616">
        <v>2016</v>
      </c>
      <c r="F616" s="2" t="s">
        <v>2</v>
      </c>
      <c r="G616">
        <v>1</v>
      </c>
      <c r="H616" s="2" t="s">
        <v>7</v>
      </c>
      <c r="I616">
        <v>1</v>
      </c>
      <c r="J616" s="2" t="s">
        <v>16</v>
      </c>
      <c r="K616">
        <v>1</v>
      </c>
      <c r="L616" s="2" t="s">
        <v>19</v>
      </c>
      <c r="M616">
        <v>1</v>
      </c>
      <c r="N616" s="2" t="s">
        <v>32</v>
      </c>
      <c r="O616">
        <v>1</v>
      </c>
    </row>
    <row r="617" spans="1:15" x14ac:dyDescent="0.35">
      <c r="A617" s="2" t="s">
        <v>90</v>
      </c>
      <c r="B617" s="2" t="s">
        <v>56</v>
      </c>
      <c r="C617" s="2" t="s">
        <v>50</v>
      </c>
      <c r="D617" s="2" t="s">
        <v>231</v>
      </c>
      <c r="E617">
        <v>2016</v>
      </c>
      <c r="F617" s="2" t="s">
        <v>2</v>
      </c>
      <c r="G617">
        <v>1</v>
      </c>
      <c r="H617" s="2" t="s">
        <v>7</v>
      </c>
      <c r="I617">
        <v>1</v>
      </c>
      <c r="J617" s="2" t="s">
        <v>16</v>
      </c>
      <c r="K617">
        <v>1</v>
      </c>
      <c r="L617" s="2" t="s">
        <v>19</v>
      </c>
      <c r="M617">
        <v>1</v>
      </c>
      <c r="N617" s="2" t="s">
        <v>33</v>
      </c>
      <c r="O617">
        <v>1</v>
      </c>
    </row>
    <row r="618" spans="1:15" x14ac:dyDescent="0.35">
      <c r="A618" s="2" t="s">
        <v>90</v>
      </c>
      <c r="B618" s="2" t="s">
        <v>56</v>
      </c>
      <c r="C618" s="2" t="s">
        <v>50</v>
      </c>
      <c r="D618" s="2" t="s">
        <v>231</v>
      </c>
      <c r="E618">
        <v>2016</v>
      </c>
      <c r="F618" s="2" t="s">
        <v>2</v>
      </c>
      <c r="G618">
        <v>1</v>
      </c>
      <c r="H618" s="2" t="s">
        <v>7</v>
      </c>
      <c r="I618">
        <v>1</v>
      </c>
      <c r="J618" s="2" t="s">
        <v>16</v>
      </c>
      <c r="K618">
        <v>1</v>
      </c>
      <c r="L618" s="2" t="s">
        <v>19</v>
      </c>
      <c r="M618">
        <v>1</v>
      </c>
      <c r="N618" s="2" t="s">
        <v>35</v>
      </c>
      <c r="O618">
        <v>1</v>
      </c>
    </row>
    <row r="619" spans="1:15" x14ac:dyDescent="0.35">
      <c r="A619" s="2" t="s">
        <v>90</v>
      </c>
      <c r="B619" s="2" t="s">
        <v>56</v>
      </c>
      <c r="C619" s="2" t="s">
        <v>50</v>
      </c>
      <c r="D619" s="2" t="s">
        <v>231</v>
      </c>
      <c r="E619">
        <v>2016</v>
      </c>
      <c r="F619" s="2" t="s">
        <v>2</v>
      </c>
      <c r="G619">
        <v>1</v>
      </c>
      <c r="H619" s="2" t="s">
        <v>7</v>
      </c>
      <c r="I619">
        <v>1</v>
      </c>
      <c r="J619" s="2" t="s">
        <v>16</v>
      </c>
      <c r="K619">
        <v>1</v>
      </c>
      <c r="L619" s="2" t="s">
        <v>19</v>
      </c>
      <c r="M619">
        <v>1</v>
      </c>
      <c r="N619" s="2" t="s">
        <v>46</v>
      </c>
      <c r="O619">
        <v>1</v>
      </c>
    </row>
    <row r="620" spans="1:15" x14ac:dyDescent="0.35">
      <c r="A620" s="2" t="s">
        <v>133</v>
      </c>
      <c r="B620" s="2" t="s">
        <v>56</v>
      </c>
      <c r="C620" s="2" t="s">
        <v>50</v>
      </c>
      <c r="D620" s="2" t="s">
        <v>231</v>
      </c>
      <c r="E620">
        <v>2014</v>
      </c>
      <c r="F620" s="2" t="s">
        <v>2</v>
      </c>
      <c r="G620">
        <v>1</v>
      </c>
      <c r="H620" s="2" t="s">
        <v>9</v>
      </c>
      <c r="I620">
        <v>1</v>
      </c>
      <c r="J620" s="2" t="s">
        <v>15</v>
      </c>
      <c r="K620">
        <v>1</v>
      </c>
      <c r="L620" s="2" t="s">
        <v>23</v>
      </c>
      <c r="M620">
        <v>1</v>
      </c>
      <c r="N620" s="2" t="s">
        <v>32</v>
      </c>
      <c r="O620">
        <v>1</v>
      </c>
    </row>
    <row r="621" spans="1:15" x14ac:dyDescent="0.35">
      <c r="A621" s="2" t="s">
        <v>133</v>
      </c>
      <c r="B621" s="2" t="s">
        <v>56</v>
      </c>
      <c r="C621" s="2" t="s">
        <v>50</v>
      </c>
      <c r="D621" s="2" t="s">
        <v>231</v>
      </c>
      <c r="E621">
        <v>2014</v>
      </c>
      <c r="F621" s="2" t="s">
        <v>2</v>
      </c>
      <c r="G621">
        <v>1</v>
      </c>
      <c r="H621" s="2" t="s">
        <v>9</v>
      </c>
      <c r="I621">
        <v>1</v>
      </c>
      <c r="J621" s="2" t="s">
        <v>15</v>
      </c>
      <c r="K621">
        <v>1</v>
      </c>
      <c r="L621" s="2" t="s">
        <v>23</v>
      </c>
      <c r="M621">
        <v>1</v>
      </c>
      <c r="N621" s="2" t="s">
        <v>33</v>
      </c>
      <c r="O621">
        <v>1</v>
      </c>
    </row>
    <row r="622" spans="1:15" x14ac:dyDescent="0.35">
      <c r="A622" s="2" t="s">
        <v>133</v>
      </c>
      <c r="B622" s="2" t="s">
        <v>56</v>
      </c>
      <c r="C622" s="2" t="s">
        <v>50</v>
      </c>
      <c r="D622" s="2" t="s">
        <v>231</v>
      </c>
      <c r="E622">
        <v>2014</v>
      </c>
      <c r="F622" s="2" t="s">
        <v>2</v>
      </c>
      <c r="G622">
        <v>1</v>
      </c>
      <c r="H622" s="2" t="s">
        <v>9</v>
      </c>
      <c r="I622">
        <v>1</v>
      </c>
      <c r="J622" s="2" t="s">
        <v>16</v>
      </c>
      <c r="K622">
        <v>1</v>
      </c>
      <c r="L622" s="2" t="s">
        <v>23</v>
      </c>
      <c r="M622">
        <v>1</v>
      </c>
      <c r="N622" s="2" t="s">
        <v>32</v>
      </c>
      <c r="O622">
        <v>1</v>
      </c>
    </row>
    <row r="623" spans="1:15" x14ac:dyDescent="0.35">
      <c r="A623" s="2" t="s">
        <v>133</v>
      </c>
      <c r="B623" s="2" t="s">
        <v>56</v>
      </c>
      <c r="C623" s="2" t="s">
        <v>50</v>
      </c>
      <c r="D623" s="2" t="s">
        <v>231</v>
      </c>
      <c r="E623">
        <v>2014</v>
      </c>
      <c r="F623" s="2" t="s">
        <v>2</v>
      </c>
      <c r="G623">
        <v>1</v>
      </c>
      <c r="H623" s="2" t="s">
        <v>9</v>
      </c>
      <c r="I623">
        <v>1</v>
      </c>
      <c r="J623" s="2" t="s">
        <v>16</v>
      </c>
      <c r="K623">
        <v>1</v>
      </c>
      <c r="L623" s="2" t="s">
        <v>23</v>
      </c>
      <c r="M623">
        <v>1</v>
      </c>
      <c r="N623" s="2" t="s">
        <v>33</v>
      </c>
      <c r="O623">
        <v>1</v>
      </c>
    </row>
    <row r="624" spans="1:15" x14ac:dyDescent="0.35">
      <c r="A624" s="2" t="s">
        <v>133</v>
      </c>
      <c r="B624" s="2" t="s">
        <v>56</v>
      </c>
      <c r="C624" s="2" t="s">
        <v>50</v>
      </c>
      <c r="D624" s="2" t="s">
        <v>231</v>
      </c>
      <c r="E624">
        <v>2014</v>
      </c>
      <c r="F624" s="2" t="s">
        <v>2</v>
      </c>
      <c r="G624">
        <v>1</v>
      </c>
      <c r="H624" s="2" t="s">
        <v>11</v>
      </c>
      <c r="I624">
        <v>1</v>
      </c>
      <c r="J624" s="2" t="s">
        <v>15</v>
      </c>
      <c r="K624">
        <v>1</v>
      </c>
      <c r="L624" s="2" t="s">
        <v>23</v>
      </c>
      <c r="M624">
        <v>1</v>
      </c>
      <c r="N624" s="2" t="s">
        <v>32</v>
      </c>
      <c r="O624">
        <v>1</v>
      </c>
    </row>
    <row r="625" spans="1:15" x14ac:dyDescent="0.35">
      <c r="A625" s="2" t="s">
        <v>133</v>
      </c>
      <c r="B625" s="2" t="s">
        <v>56</v>
      </c>
      <c r="C625" s="2" t="s">
        <v>50</v>
      </c>
      <c r="D625" s="2" t="s">
        <v>231</v>
      </c>
      <c r="E625">
        <v>2014</v>
      </c>
      <c r="F625" s="2" t="s">
        <v>2</v>
      </c>
      <c r="G625">
        <v>1</v>
      </c>
      <c r="H625" s="2" t="s">
        <v>11</v>
      </c>
      <c r="I625">
        <v>1</v>
      </c>
      <c r="J625" s="2" t="s">
        <v>15</v>
      </c>
      <c r="K625">
        <v>1</v>
      </c>
      <c r="L625" s="2" t="s">
        <v>23</v>
      </c>
      <c r="M625">
        <v>1</v>
      </c>
      <c r="N625" s="2" t="s">
        <v>33</v>
      </c>
      <c r="O625">
        <v>1</v>
      </c>
    </row>
    <row r="626" spans="1:15" x14ac:dyDescent="0.35">
      <c r="A626" s="2" t="s">
        <v>133</v>
      </c>
      <c r="B626" s="2" t="s">
        <v>56</v>
      </c>
      <c r="C626" s="2" t="s">
        <v>50</v>
      </c>
      <c r="D626" s="2" t="s">
        <v>231</v>
      </c>
      <c r="E626">
        <v>2014</v>
      </c>
      <c r="F626" s="2" t="s">
        <v>2</v>
      </c>
      <c r="G626">
        <v>1</v>
      </c>
      <c r="H626" s="2" t="s">
        <v>11</v>
      </c>
      <c r="I626">
        <v>1</v>
      </c>
      <c r="J626" s="2" t="s">
        <v>16</v>
      </c>
      <c r="K626">
        <v>1</v>
      </c>
      <c r="L626" s="2" t="s">
        <v>23</v>
      </c>
      <c r="M626">
        <v>1</v>
      </c>
      <c r="N626" s="2" t="s">
        <v>32</v>
      </c>
      <c r="O626">
        <v>1</v>
      </c>
    </row>
    <row r="627" spans="1:15" x14ac:dyDescent="0.35">
      <c r="A627" s="2" t="s">
        <v>133</v>
      </c>
      <c r="B627" s="2" t="s">
        <v>56</v>
      </c>
      <c r="C627" s="2" t="s">
        <v>50</v>
      </c>
      <c r="D627" s="2" t="s">
        <v>231</v>
      </c>
      <c r="E627">
        <v>2014</v>
      </c>
      <c r="F627" s="2" t="s">
        <v>2</v>
      </c>
      <c r="G627">
        <v>1</v>
      </c>
      <c r="H627" s="2" t="s">
        <v>11</v>
      </c>
      <c r="I627">
        <v>1</v>
      </c>
      <c r="J627" s="2" t="s">
        <v>16</v>
      </c>
      <c r="K627">
        <v>1</v>
      </c>
      <c r="L627" s="2" t="s">
        <v>23</v>
      </c>
      <c r="M627">
        <v>1</v>
      </c>
      <c r="N627" s="2" t="s">
        <v>33</v>
      </c>
      <c r="O627">
        <v>1</v>
      </c>
    </row>
    <row r="628" spans="1:15" x14ac:dyDescent="0.35">
      <c r="A628" s="2" t="s">
        <v>141</v>
      </c>
      <c r="B628" s="2" t="s">
        <v>56</v>
      </c>
      <c r="C628" s="2" t="s">
        <v>50</v>
      </c>
      <c r="D628" s="2" t="s">
        <v>231</v>
      </c>
      <c r="E628">
        <v>2017</v>
      </c>
      <c r="F628" s="2" t="s">
        <v>2</v>
      </c>
      <c r="G628">
        <v>1</v>
      </c>
      <c r="H628" s="2" t="s">
        <v>7</v>
      </c>
      <c r="I628">
        <v>1</v>
      </c>
      <c r="J628" s="2" t="s">
        <v>14</v>
      </c>
      <c r="K628">
        <v>1</v>
      </c>
      <c r="L628" s="2" t="s">
        <v>23</v>
      </c>
      <c r="M628">
        <v>1</v>
      </c>
      <c r="N628" s="2" t="s">
        <v>44</v>
      </c>
      <c r="O628">
        <v>1</v>
      </c>
    </row>
    <row r="629" spans="1:15" x14ac:dyDescent="0.35">
      <c r="A629" s="2" t="s">
        <v>141</v>
      </c>
      <c r="B629" s="2" t="s">
        <v>56</v>
      </c>
      <c r="C629" s="2" t="s">
        <v>50</v>
      </c>
      <c r="D629" s="2" t="s">
        <v>231</v>
      </c>
      <c r="E629">
        <v>2017</v>
      </c>
      <c r="F629" s="2" t="s">
        <v>2</v>
      </c>
      <c r="G629">
        <v>1</v>
      </c>
      <c r="H629" s="2" t="s">
        <v>7</v>
      </c>
      <c r="I629">
        <v>1</v>
      </c>
      <c r="J629" s="2" t="s">
        <v>17</v>
      </c>
      <c r="K629">
        <v>1</v>
      </c>
      <c r="L629" s="2" t="s">
        <v>23</v>
      </c>
      <c r="M629">
        <v>1</v>
      </c>
      <c r="N629" s="2" t="s">
        <v>44</v>
      </c>
      <c r="O629">
        <v>1</v>
      </c>
    </row>
    <row r="630" spans="1:15" x14ac:dyDescent="0.35">
      <c r="A630" s="2" t="s">
        <v>150</v>
      </c>
      <c r="B630" s="2" t="s">
        <v>49</v>
      </c>
      <c r="C630" s="2" t="s">
        <v>50</v>
      </c>
      <c r="D630" s="2" t="s">
        <v>231</v>
      </c>
      <c r="E630">
        <v>2018</v>
      </c>
      <c r="F630" s="2" t="s">
        <v>2</v>
      </c>
      <c r="G630">
        <v>1</v>
      </c>
      <c r="H630" s="2" t="s">
        <v>13</v>
      </c>
      <c r="I630">
        <v>1</v>
      </c>
      <c r="J630" s="2" t="s">
        <v>14</v>
      </c>
      <c r="K630">
        <v>1</v>
      </c>
      <c r="L630" s="2" t="s">
        <v>19</v>
      </c>
      <c r="M630">
        <v>1</v>
      </c>
      <c r="N630" s="2" t="s">
        <v>35</v>
      </c>
      <c r="O630">
        <v>1</v>
      </c>
    </row>
    <row r="631" spans="1:15" x14ac:dyDescent="0.35">
      <c r="A631" s="2" t="s">
        <v>150</v>
      </c>
      <c r="B631" s="2" t="s">
        <v>49</v>
      </c>
      <c r="C631" s="2" t="s">
        <v>50</v>
      </c>
      <c r="D631" s="2" t="s">
        <v>231</v>
      </c>
      <c r="E631">
        <v>2018</v>
      </c>
      <c r="F631" s="2" t="s">
        <v>2</v>
      </c>
      <c r="G631">
        <v>1</v>
      </c>
      <c r="H631" s="2" t="s">
        <v>13</v>
      </c>
      <c r="I631">
        <v>1</v>
      </c>
      <c r="J631" s="2" t="s">
        <v>14</v>
      </c>
      <c r="K631">
        <v>1</v>
      </c>
      <c r="L631" s="2" t="s">
        <v>19</v>
      </c>
      <c r="M631">
        <v>1</v>
      </c>
      <c r="N631" s="2" t="s">
        <v>45</v>
      </c>
      <c r="O631">
        <v>1</v>
      </c>
    </row>
    <row r="632" spans="1:15" x14ac:dyDescent="0.35">
      <c r="A632" s="2" t="s">
        <v>150</v>
      </c>
      <c r="B632" s="2" t="s">
        <v>49</v>
      </c>
      <c r="C632" s="2" t="s">
        <v>50</v>
      </c>
      <c r="D632" s="2" t="s">
        <v>231</v>
      </c>
      <c r="E632">
        <v>2018</v>
      </c>
      <c r="F632" s="2" t="s">
        <v>2</v>
      </c>
      <c r="G632">
        <v>1</v>
      </c>
      <c r="H632" s="2" t="s">
        <v>13</v>
      </c>
      <c r="I632">
        <v>1</v>
      </c>
      <c r="J632" s="2" t="s">
        <v>15</v>
      </c>
      <c r="K632">
        <v>1</v>
      </c>
      <c r="L632" s="2" t="s">
        <v>19</v>
      </c>
      <c r="M632">
        <v>1</v>
      </c>
      <c r="N632" s="2" t="s">
        <v>35</v>
      </c>
      <c r="O632">
        <v>1</v>
      </c>
    </row>
    <row r="633" spans="1:15" x14ac:dyDescent="0.35">
      <c r="A633" s="2" t="s">
        <v>150</v>
      </c>
      <c r="B633" s="2" t="s">
        <v>49</v>
      </c>
      <c r="C633" s="2" t="s">
        <v>50</v>
      </c>
      <c r="D633" s="2" t="s">
        <v>231</v>
      </c>
      <c r="E633">
        <v>2018</v>
      </c>
      <c r="F633" s="2" t="s">
        <v>2</v>
      </c>
      <c r="G633">
        <v>1</v>
      </c>
      <c r="H633" s="2" t="s">
        <v>13</v>
      </c>
      <c r="I633">
        <v>1</v>
      </c>
      <c r="J633" s="2" t="s">
        <v>15</v>
      </c>
      <c r="K633">
        <v>1</v>
      </c>
      <c r="L633" s="2" t="s">
        <v>19</v>
      </c>
      <c r="M633">
        <v>1</v>
      </c>
      <c r="N633" s="2" t="s">
        <v>45</v>
      </c>
      <c r="O633">
        <v>1</v>
      </c>
    </row>
    <row r="634" spans="1:15" x14ac:dyDescent="0.35">
      <c r="A634" s="2" t="s">
        <v>150</v>
      </c>
      <c r="B634" s="2" t="s">
        <v>49</v>
      </c>
      <c r="C634" s="2" t="s">
        <v>50</v>
      </c>
      <c r="D634" s="2" t="s">
        <v>231</v>
      </c>
      <c r="E634">
        <v>2018</v>
      </c>
      <c r="F634" s="2" t="s">
        <v>2</v>
      </c>
      <c r="G634">
        <v>1</v>
      </c>
      <c r="H634" s="2" t="s">
        <v>13</v>
      </c>
      <c r="I634">
        <v>1</v>
      </c>
      <c r="J634" s="2" t="s">
        <v>16</v>
      </c>
      <c r="K634">
        <v>1</v>
      </c>
      <c r="L634" s="2" t="s">
        <v>19</v>
      </c>
      <c r="M634">
        <v>1</v>
      </c>
      <c r="N634" s="2" t="s">
        <v>35</v>
      </c>
      <c r="O634">
        <v>1</v>
      </c>
    </row>
    <row r="635" spans="1:15" x14ac:dyDescent="0.35">
      <c r="A635" s="2" t="s">
        <v>150</v>
      </c>
      <c r="B635" s="2" t="s">
        <v>49</v>
      </c>
      <c r="C635" s="2" t="s">
        <v>50</v>
      </c>
      <c r="D635" s="2" t="s">
        <v>231</v>
      </c>
      <c r="E635">
        <v>2018</v>
      </c>
      <c r="F635" s="2" t="s">
        <v>2</v>
      </c>
      <c r="G635">
        <v>1</v>
      </c>
      <c r="H635" s="2" t="s">
        <v>13</v>
      </c>
      <c r="I635">
        <v>1</v>
      </c>
      <c r="J635" s="2" t="s">
        <v>16</v>
      </c>
      <c r="K635">
        <v>1</v>
      </c>
      <c r="L635" s="2" t="s">
        <v>19</v>
      </c>
      <c r="M635">
        <v>1</v>
      </c>
      <c r="N635" s="2" t="s">
        <v>45</v>
      </c>
      <c r="O635">
        <v>1</v>
      </c>
    </row>
    <row r="636" spans="1:15" x14ac:dyDescent="0.35">
      <c r="A636" s="2" t="s">
        <v>150</v>
      </c>
      <c r="B636" s="2" t="s">
        <v>49</v>
      </c>
      <c r="C636" s="2" t="s">
        <v>50</v>
      </c>
      <c r="D636" s="2" t="s">
        <v>231</v>
      </c>
      <c r="E636">
        <v>2018</v>
      </c>
      <c r="F636" s="2" t="s">
        <v>4</v>
      </c>
      <c r="G636">
        <v>1</v>
      </c>
      <c r="H636" s="2" t="s">
        <v>13</v>
      </c>
      <c r="I636">
        <v>1</v>
      </c>
      <c r="J636" s="2" t="s">
        <v>14</v>
      </c>
      <c r="K636">
        <v>1</v>
      </c>
      <c r="L636" s="2" t="s">
        <v>19</v>
      </c>
      <c r="M636">
        <v>1</v>
      </c>
      <c r="N636" s="2" t="s">
        <v>35</v>
      </c>
      <c r="O636">
        <v>1</v>
      </c>
    </row>
    <row r="637" spans="1:15" x14ac:dyDescent="0.35">
      <c r="A637" s="2" t="s">
        <v>150</v>
      </c>
      <c r="B637" s="2" t="s">
        <v>49</v>
      </c>
      <c r="C637" s="2" t="s">
        <v>50</v>
      </c>
      <c r="D637" s="2" t="s">
        <v>231</v>
      </c>
      <c r="E637">
        <v>2018</v>
      </c>
      <c r="F637" s="2" t="s">
        <v>4</v>
      </c>
      <c r="G637">
        <v>1</v>
      </c>
      <c r="H637" s="2" t="s">
        <v>13</v>
      </c>
      <c r="I637">
        <v>1</v>
      </c>
      <c r="J637" s="2" t="s">
        <v>14</v>
      </c>
      <c r="K637">
        <v>1</v>
      </c>
      <c r="L637" s="2" t="s">
        <v>19</v>
      </c>
      <c r="M637">
        <v>1</v>
      </c>
      <c r="N637" s="2" t="s">
        <v>45</v>
      </c>
      <c r="O637">
        <v>1</v>
      </c>
    </row>
    <row r="638" spans="1:15" x14ac:dyDescent="0.35">
      <c r="A638" s="2" t="s">
        <v>150</v>
      </c>
      <c r="B638" s="2" t="s">
        <v>49</v>
      </c>
      <c r="C638" s="2" t="s">
        <v>50</v>
      </c>
      <c r="D638" s="2" t="s">
        <v>231</v>
      </c>
      <c r="E638">
        <v>2018</v>
      </c>
      <c r="F638" s="2" t="s">
        <v>4</v>
      </c>
      <c r="G638">
        <v>1</v>
      </c>
      <c r="H638" s="2" t="s">
        <v>13</v>
      </c>
      <c r="I638">
        <v>1</v>
      </c>
      <c r="J638" s="2" t="s">
        <v>15</v>
      </c>
      <c r="K638">
        <v>1</v>
      </c>
      <c r="L638" s="2" t="s">
        <v>19</v>
      </c>
      <c r="M638">
        <v>1</v>
      </c>
      <c r="N638" s="2" t="s">
        <v>35</v>
      </c>
      <c r="O638">
        <v>1</v>
      </c>
    </row>
    <row r="639" spans="1:15" x14ac:dyDescent="0.35">
      <c r="A639" s="2" t="s">
        <v>150</v>
      </c>
      <c r="B639" s="2" t="s">
        <v>49</v>
      </c>
      <c r="C639" s="2" t="s">
        <v>50</v>
      </c>
      <c r="D639" s="2" t="s">
        <v>231</v>
      </c>
      <c r="E639">
        <v>2018</v>
      </c>
      <c r="F639" s="2" t="s">
        <v>4</v>
      </c>
      <c r="G639">
        <v>1</v>
      </c>
      <c r="H639" s="2" t="s">
        <v>13</v>
      </c>
      <c r="I639">
        <v>1</v>
      </c>
      <c r="J639" s="2" t="s">
        <v>15</v>
      </c>
      <c r="K639">
        <v>1</v>
      </c>
      <c r="L639" s="2" t="s">
        <v>19</v>
      </c>
      <c r="M639">
        <v>1</v>
      </c>
      <c r="N639" s="2" t="s">
        <v>45</v>
      </c>
      <c r="O639">
        <v>1</v>
      </c>
    </row>
    <row r="640" spans="1:15" x14ac:dyDescent="0.35">
      <c r="A640" s="2" t="s">
        <v>150</v>
      </c>
      <c r="B640" s="2" t="s">
        <v>49</v>
      </c>
      <c r="C640" s="2" t="s">
        <v>50</v>
      </c>
      <c r="D640" s="2" t="s">
        <v>231</v>
      </c>
      <c r="E640">
        <v>2018</v>
      </c>
      <c r="F640" s="2" t="s">
        <v>4</v>
      </c>
      <c r="G640">
        <v>1</v>
      </c>
      <c r="H640" s="2" t="s">
        <v>13</v>
      </c>
      <c r="I640">
        <v>1</v>
      </c>
      <c r="J640" s="2" t="s">
        <v>16</v>
      </c>
      <c r="K640">
        <v>1</v>
      </c>
      <c r="L640" s="2" t="s">
        <v>19</v>
      </c>
      <c r="M640">
        <v>1</v>
      </c>
      <c r="N640" s="2" t="s">
        <v>35</v>
      </c>
      <c r="O640">
        <v>1</v>
      </c>
    </row>
    <row r="641" spans="1:15" x14ac:dyDescent="0.35">
      <c r="A641" s="2" t="s">
        <v>150</v>
      </c>
      <c r="B641" s="2" t="s">
        <v>49</v>
      </c>
      <c r="C641" s="2" t="s">
        <v>50</v>
      </c>
      <c r="D641" s="2" t="s">
        <v>231</v>
      </c>
      <c r="E641">
        <v>2018</v>
      </c>
      <c r="F641" s="2" t="s">
        <v>4</v>
      </c>
      <c r="G641">
        <v>1</v>
      </c>
      <c r="H641" s="2" t="s">
        <v>13</v>
      </c>
      <c r="I641">
        <v>1</v>
      </c>
      <c r="J641" s="2" t="s">
        <v>16</v>
      </c>
      <c r="K641">
        <v>1</v>
      </c>
      <c r="L641" s="2" t="s">
        <v>19</v>
      </c>
      <c r="M641">
        <v>1</v>
      </c>
      <c r="N641" s="2" t="s">
        <v>45</v>
      </c>
      <c r="O641">
        <v>1</v>
      </c>
    </row>
    <row r="642" spans="1:15" x14ac:dyDescent="0.35">
      <c r="A642" s="2" t="s">
        <v>163</v>
      </c>
      <c r="B642" s="2" t="s">
        <v>56</v>
      </c>
      <c r="C642" s="2" t="s">
        <v>50</v>
      </c>
      <c r="D642" s="2" t="s">
        <v>231</v>
      </c>
      <c r="E642">
        <v>2021</v>
      </c>
      <c r="F642" s="2" t="s">
        <v>2</v>
      </c>
      <c r="G642">
        <v>1</v>
      </c>
      <c r="H642" s="2" t="s">
        <v>7</v>
      </c>
      <c r="I642">
        <v>1</v>
      </c>
      <c r="J642" s="2" t="s">
        <v>15</v>
      </c>
      <c r="K642">
        <v>1</v>
      </c>
      <c r="L642" s="2" t="s">
        <v>23</v>
      </c>
      <c r="M642">
        <v>1</v>
      </c>
      <c r="N642" s="2" t="s">
        <v>32</v>
      </c>
      <c r="O642">
        <v>1</v>
      </c>
    </row>
    <row r="643" spans="1:15" x14ac:dyDescent="0.35">
      <c r="A643" s="2" t="s">
        <v>163</v>
      </c>
      <c r="B643" s="2" t="s">
        <v>56</v>
      </c>
      <c r="C643" s="2" t="s">
        <v>50</v>
      </c>
      <c r="D643" s="2" t="s">
        <v>231</v>
      </c>
      <c r="E643">
        <v>2021</v>
      </c>
      <c r="F643" s="2" t="s">
        <v>2</v>
      </c>
      <c r="G643">
        <v>1</v>
      </c>
      <c r="H643" s="2" t="s">
        <v>7</v>
      </c>
      <c r="I643">
        <v>1</v>
      </c>
      <c r="J643" s="2" t="s">
        <v>15</v>
      </c>
      <c r="K643">
        <v>1</v>
      </c>
      <c r="L643" s="2" t="s">
        <v>23</v>
      </c>
      <c r="M643">
        <v>1</v>
      </c>
      <c r="N643" s="2" t="s">
        <v>33</v>
      </c>
      <c r="O643">
        <v>1</v>
      </c>
    </row>
    <row r="644" spans="1:15" x14ac:dyDescent="0.35">
      <c r="A644" s="2" t="s">
        <v>163</v>
      </c>
      <c r="B644" s="2" t="s">
        <v>56</v>
      </c>
      <c r="C644" s="2" t="s">
        <v>50</v>
      </c>
      <c r="D644" s="2" t="s">
        <v>231</v>
      </c>
      <c r="E644">
        <v>2021</v>
      </c>
      <c r="F644" s="2" t="s">
        <v>2</v>
      </c>
      <c r="G644">
        <v>1</v>
      </c>
      <c r="H644" s="2" t="s">
        <v>7</v>
      </c>
      <c r="I644">
        <v>1</v>
      </c>
      <c r="J644" s="2" t="s">
        <v>16</v>
      </c>
      <c r="K644">
        <v>1</v>
      </c>
      <c r="L644" s="2" t="s">
        <v>23</v>
      </c>
      <c r="M644">
        <v>1</v>
      </c>
      <c r="N644" s="2" t="s">
        <v>32</v>
      </c>
      <c r="O644">
        <v>1</v>
      </c>
    </row>
    <row r="645" spans="1:15" x14ac:dyDescent="0.35">
      <c r="A645" s="2" t="s">
        <v>163</v>
      </c>
      <c r="B645" s="2" t="s">
        <v>56</v>
      </c>
      <c r="C645" s="2" t="s">
        <v>50</v>
      </c>
      <c r="D645" s="2" t="s">
        <v>231</v>
      </c>
      <c r="E645">
        <v>2021</v>
      </c>
      <c r="F645" s="2" t="s">
        <v>2</v>
      </c>
      <c r="G645">
        <v>1</v>
      </c>
      <c r="H645" s="2" t="s">
        <v>7</v>
      </c>
      <c r="I645">
        <v>1</v>
      </c>
      <c r="J645" s="2" t="s">
        <v>16</v>
      </c>
      <c r="K645">
        <v>1</v>
      </c>
      <c r="L645" s="2" t="s">
        <v>23</v>
      </c>
      <c r="M645">
        <v>1</v>
      </c>
      <c r="N645" s="2" t="s">
        <v>33</v>
      </c>
      <c r="O645">
        <v>1</v>
      </c>
    </row>
    <row r="646" spans="1:15" x14ac:dyDescent="0.35">
      <c r="A646" s="2" t="s">
        <v>179</v>
      </c>
      <c r="B646" s="2" t="s">
        <v>66</v>
      </c>
      <c r="C646" s="2" t="s">
        <v>50</v>
      </c>
      <c r="D646" s="2" t="s">
        <v>231</v>
      </c>
      <c r="E646">
        <v>2018</v>
      </c>
      <c r="F646" s="2" t="s">
        <v>4</v>
      </c>
      <c r="G646">
        <v>1</v>
      </c>
      <c r="H646" s="2" t="s">
        <v>13</v>
      </c>
      <c r="I646">
        <v>1</v>
      </c>
      <c r="J646" s="2" t="s">
        <v>14</v>
      </c>
      <c r="K646">
        <v>1</v>
      </c>
      <c r="L646" s="2" t="s">
        <v>21</v>
      </c>
      <c r="M646">
        <v>1</v>
      </c>
      <c r="N646" s="2" t="s">
        <v>32</v>
      </c>
      <c r="O646">
        <v>1</v>
      </c>
    </row>
    <row r="647" spans="1:15" x14ac:dyDescent="0.35">
      <c r="A647" s="2" t="s">
        <v>179</v>
      </c>
      <c r="B647" s="2" t="s">
        <v>66</v>
      </c>
      <c r="C647" s="2" t="s">
        <v>50</v>
      </c>
      <c r="D647" s="2" t="s">
        <v>231</v>
      </c>
      <c r="E647">
        <v>2018</v>
      </c>
      <c r="F647" s="2" t="s">
        <v>4</v>
      </c>
      <c r="G647">
        <v>1</v>
      </c>
      <c r="H647" s="2" t="s">
        <v>13</v>
      </c>
      <c r="I647">
        <v>1</v>
      </c>
      <c r="J647" s="2" t="s">
        <v>14</v>
      </c>
      <c r="K647">
        <v>1</v>
      </c>
      <c r="L647" s="2" t="s">
        <v>21</v>
      </c>
      <c r="M647">
        <v>1</v>
      </c>
      <c r="N647" s="2" t="s">
        <v>38</v>
      </c>
      <c r="O647">
        <v>1</v>
      </c>
    </row>
    <row r="648" spans="1:15" x14ac:dyDescent="0.35">
      <c r="A648" s="2" t="s">
        <v>179</v>
      </c>
      <c r="B648" s="2" t="s">
        <v>66</v>
      </c>
      <c r="C648" s="2" t="s">
        <v>50</v>
      </c>
      <c r="D648" s="2" t="s">
        <v>231</v>
      </c>
      <c r="E648">
        <v>2018</v>
      </c>
      <c r="F648" s="2" t="s">
        <v>4</v>
      </c>
      <c r="G648">
        <v>1</v>
      </c>
      <c r="H648" s="2" t="s">
        <v>13</v>
      </c>
      <c r="I648">
        <v>1</v>
      </c>
      <c r="J648" s="2" t="s">
        <v>14</v>
      </c>
      <c r="K648">
        <v>1</v>
      </c>
      <c r="L648" s="2" t="s">
        <v>21</v>
      </c>
      <c r="M648">
        <v>1</v>
      </c>
      <c r="N648" s="2" t="s">
        <v>44</v>
      </c>
      <c r="O648">
        <v>1</v>
      </c>
    </row>
    <row r="649" spans="1:15" x14ac:dyDescent="0.35">
      <c r="A649" s="2" t="s">
        <v>179</v>
      </c>
      <c r="B649" s="2" t="s">
        <v>66</v>
      </c>
      <c r="C649" s="2" t="s">
        <v>50</v>
      </c>
      <c r="D649" s="2" t="s">
        <v>231</v>
      </c>
      <c r="E649">
        <v>2018</v>
      </c>
      <c r="F649" s="2" t="s">
        <v>4</v>
      </c>
      <c r="G649">
        <v>1</v>
      </c>
      <c r="H649" s="2" t="s">
        <v>13</v>
      </c>
      <c r="I649">
        <v>1</v>
      </c>
      <c r="J649" s="2" t="s">
        <v>17</v>
      </c>
      <c r="K649">
        <v>1</v>
      </c>
      <c r="L649" s="2" t="s">
        <v>21</v>
      </c>
      <c r="M649">
        <v>1</v>
      </c>
      <c r="N649" s="2" t="s">
        <v>32</v>
      </c>
      <c r="O649">
        <v>1</v>
      </c>
    </row>
    <row r="650" spans="1:15" x14ac:dyDescent="0.35">
      <c r="A650" s="2" t="s">
        <v>179</v>
      </c>
      <c r="B650" s="2" t="s">
        <v>66</v>
      </c>
      <c r="C650" s="2" t="s">
        <v>50</v>
      </c>
      <c r="D650" s="2" t="s">
        <v>231</v>
      </c>
      <c r="E650">
        <v>2018</v>
      </c>
      <c r="F650" s="2" t="s">
        <v>4</v>
      </c>
      <c r="G650">
        <v>1</v>
      </c>
      <c r="H650" s="2" t="s">
        <v>13</v>
      </c>
      <c r="I650">
        <v>1</v>
      </c>
      <c r="J650" s="2" t="s">
        <v>17</v>
      </c>
      <c r="K650">
        <v>1</v>
      </c>
      <c r="L650" s="2" t="s">
        <v>21</v>
      </c>
      <c r="M650">
        <v>1</v>
      </c>
      <c r="N650" s="2" t="s">
        <v>38</v>
      </c>
      <c r="O650">
        <v>1</v>
      </c>
    </row>
    <row r="651" spans="1:15" x14ac:dyDescent="0.35">
      <c r="A651" s="2" t="s">
        <v>179</v>
      </c>
      <c r="B651" s="2" t="s">
        <v>66</v>
      </c>
      <c r="C651" s="2" t="s">
        <v>50</v>
      </c>
      <c r="D651" s="2" t="s">
        <v>231</v>
      </c>
      <c r="E651">
        <v>2018</v>
      </c>
      <c r="F651" s="2" t="s">
        <v>4</v>
      </c>
      <c r="G651">
        <v>1</v>
      </c>
      <c r="H651" s="2" t="s">
        <v>13</v>
      </c>
      <c r="I651">
        <v>1</v>
      </c>
      <c r="J651" s="2" t="s">
        <v>17</v>
      </c>
      <c r="K651">
        <v>1</v>
      </c>
      <c r="L651" s="2" t="s">
        <v>21</v>
      </c>
      <c r="M651">
        <v>1</v>
      </c>
      <c r="N651" s="2" t="s">
        <v>44</v>
      </c>
      <c r="O651">
        <v>1</v>
      </c>
    </row>
    <row r="652" spans="1:15" x14ac:dyDescent="0.35">
      <c r="A652" s="2" t="s">
        <v>182</v>
      </c>
      <c r="B652" s="2" t="s">
        <v>49</v>
      </c>
      <c r="C652" s="2" t="s">
        <v>50</v>
      </c>
      <c r="D652" s="2" t="s">
        <v>231</v>
      </c>
      <c r="E652">
        <v>2016</v>
      </c>
      <c r="F652" s="2" t="s">
        <v>2</v>
      </c>
      <c r="G652">
        <v>1</v>
      </c>
      <c r="H652" s="2" t="s">
        <v>13</v>
      </c>
      <c r="I652">
        <v>1</v>
      </c>
      <c r="J652" s="2" t="s">
        <v>14</v>
      </c>
      <c r="K652">
        <v>1</v>
      </c>
      <c r="L652" s="2" t="s">
        <v>23</v>
      </c>
      <c r="M652">
        <v>1</v>
      </c>
      <c r="N652" s="2" t="s">
        <v>31</v>
      </c>
      <c r="O652">
        <v>1</v>
      </c>
    </row>
    <row r="653" spans="1:15" x14ac:dyDescent="0.35">
      <c r="A653" s="2" t="s">
        <v>182</v>
      </c>
      <c r="B653" s="2" t="s">
        <v>49</v>
      </c>
      <c r="C653" s="2" t="s">
        <v>50</v>
      </c>
      <c r="D653" s="2" t="s">
        <v>231</v>
      </c>
      <c r="E653">
        <v>2016</v>
      </c>
      <c r="F653" s="2" t="s">
        <v>2</v>
      </c>
      <c r="G653">
        <v>1</v>
      </c>
      <c r="H653" s="2" t="s">
        <v>13</v>
      </c>
      <c r="I653">
        <v>1</v>
      </c>
      <c r="J653" s="2" t="s">
        <v>14</v>
      </c>
      <c r="K653">
        <v>1</v>
      </c>
      <c r="L653" s="2" t="s">
        <v>23</v>
      </c>
      <c r="M653">
        <v>1</v>
      </c>
      <c r="N653" s="2" t="s">
        <v>44</v>
      </c>
      <c r="O653">
        <v>1</v>
      </c>
    </row>
    <row r="654" spans="1:15" x14ac:dyDescent="0.35">
      <c r="A654" s="2" t="s">
        <v>182</v>
      </c>
      <c r="B654" s="2" t="s">
        <v>49</v>
      </c>
      <c r="C654" s="2" t="s">
        <v>50</v>
      </c>
      <c r="D654" s="2" t="s">
        <v>231</v>
      </c>
      <c r="E654">
        <v>2016</v>
      </c>
      <c r="F654" s="2" t="s">
        <v>4</v>
      </c>
      <c r="G654">
        <v>1</v>
      </c>
      <c r="H654" s="2" t="s">
        <v>13</v>
      </c>
      <c r="I654">
        <v>1</v>
      </c>
      <c r="J654" s="2" t="s">
        <v>14</v>
      </c>
      <c r="K654">
        <v>1</v>
      </c>
      <c r="L654" s="2" t="s">
        <v>23</v>
      </c>
      <c r="M654">
        <v>1</v>
      </c>
      <c r="N654" s="2" t="s">
        <v>31</v>
      </c>
      <c r="O654">
        <v>1</v>
      </c>
    </row>
    <row r="655" spans="1:15" x14ac:dyDescent="0.35">
      <c r="A655" s="2" t="s">
        <v>182</v>
      </c>
      <c r="B655" s="2" t="s">
        <v>49</v>
      </c>
      <c r="C655" s="2" t="s">
        <v>50</v>
      </c>
      <c r="D655" s="2" t="s">
        <v>231</v>
      </c>
      <c r="E655">
        <v>2016</v>
      </c>
      <c r="F655" s="2" t="s">
        <v>4</v>
      </c>
      <c r="G655">
        <v>1</v>
      </c>
      <c r="H655" s="2" t="s">
        <v>13</v>
      </c>
      <c r="I655">
        <v>1</v>
      </c>
      <c r="J655" s="2" t="s">
        <v>14</v>
      </c>
      <c r="K655">
        <v>1</v>
      </c>
      <c r="L655" s="2" t="s">
        <v>23</v>
      </c>
      <c r="M655">
        <v>1</v>
      </c>
      <c r="N655" s="2" t="s">
        <v>44</v>
      </c>
      <c r="O655">
        <v>1</v>
      </c>
    </row>
    <row r="656" spans="1:15" x14ac:dyDescent="0.35">
      <c r="A656" s="2" t="s">
        <v>75</v>
      </c>
      <c r="B656" s="2" t="s">
        <v>56</v>
      </c>
      <c r="C656" s="2" t="s">
        <v>50</v>
      </c>
      <c r="D656" s="2" t="s">
        <v>231</v>
      </c>
      <c r="E656">
        <v>2011</v>
      </c>
      <c r="F656" s="2" t="s">
        <v>4</v>
      </c>
      <c r="G656">
        <v>1</v>
      </c>
      <c r="H656" s="2" t="s">
        <v>9</v>
      </c>
      <c r="I656">
        <v>1</v>
      </c>
      <c r="J656" s="2" t="s">
        <v>14</v>
      </c>
      <c r="K656">
        <v>1</v>
      </c>
      <c r="L656" s="2" t="s">
        <v>22</v>
      </c>
      <c r="M656">
        <v>1</v>
      </c>
      <c r="N656" s="2" t="s">
        <v>32</v>
      </c>
      <c r="O656">
        <v>1</v>
      </c>
    </row>
    <row r="657" spans="1:15" x14ac:dyDescent="0.35">
      <c r="A657" s="2" t="s">
        <v>75</v>
      </c>
      <c r="B657" s="2" t="s">
        <v>56</v>
      </c>
      <c r="C657" s="2" t="s">
        <v>50</v>
      </c>
      <c r="D657" s="2" t="s">
        <v>231</v>
      </c>
      <c r="E657">
        <v>2011</v>
      </c>
      <c r="F657" s="2" t="s">
        <v>4</v>
      </c>
      <c r="G657">
        <v>1</v>
      </c>
      <c r="H657" s="2" t="s">
        <v>9</v>
      </c>
      <c r="I657">
        <v>1</v>
      </c>
      <c r="J657" s="2" t="s">
        <v>16</v>
      </c>
      <c r="K657">
        <v>1</v>
      </c>
      <c r="L657" s="2" t="s">
        <v>22</v>
      </c>
      <c r="M657">
        <v>1</v>
      </c>
      <c r="N657" s="2" t="s">
        <v>32</v>
      </c>
      <c r="O657">
        <v>1</v>
      </c>
    </row>
    <row r="658" spans="1:15" x14ac:dyDescent="0.35">
      <c r="A658" s="2" t="s">
        <v>90</v>
      </c>
      <c r="B658" s="2" t="s">
        <v>56</v>
      </c>
      <c r="C658" s="2" t="s">
        <v>50</v>
      </c>
      <c r="D658" s="2" t="s">
        <v>231</v>
      </c>
      <c r="E658">
        <v>2016</v>
      </c>
      <c r="F658" s="2" t="s">
        <v>2</v>
      </c>
      <c r="G658">
        <v>1</v>
      </c>
      <c r="H658" s="2" t="s">
        <v>7</v>
      </c>
      <c r="I658">
        <v>1</v>
      </c>
      <c r="J658" s="2" t="s">
        <v>16</v>
      </c>
      <c r="K658">
        <v>1</v>
      </c>
      <c r="L658" s="2" t="s">
        <v>22</v>
      </c>
      <c r="M658">
        <v>1</v>
      </c>
      <c r="N658" s="2" t="s">
        <v>32</v>
      </c>
      <c r="O658">
        <v>1</v>
      </c>
    </row>
    <row r="659" spans="1:15" x14ac:dyDescent="0.35">
      <c r="A659" s="2" t="s">
        <v>90</v>
      </c>
      <c r="B659" s="2" t="s">
        <v>56</v>
      </c>
      <c r="C659" s="2" t="s">
        <v>50</v>
      </c>
      <c r="D659" s="2" t="s">
        <v>231</v>
      </c>
      <c r="E659">
        <v>2016</v>
      </c>
      <c r="F659" s="2" t="s">
        <v>2</v>
      </c>
      <c r="G659">
        <v>1</v>
      </c>
      <c r="H659" s="2" t="s">
        <v>7</v>
      </c>
      <c r="I659">
        <v>1</v>
      </c>
      <c r="J659" s="2" t="s">
        <v>16</v>
      </c>
      <c r="K659">
        <v>1</v>
      </c>
      <c r="L659" s="2" t="s">
        <v>22</v>
      </c>
      <c r="M659">
        <v>1</v>
      </c>
      <c r="N659" s="2" t="s">
        <v>33</v>
      </c>
      <c r="O659">
        <v>1</v>
      </c>
    </row>
    <row r="660" spans="1:15" x14ac:dyDescent="0.35">
      <c r="A660" s="2" t="s">
        <v>90</v>
      </c>
      <c r="B660" s="2" t="s">
        <v>56</v>
      </c>
      <c r="C660" s="2" t="s">
        <v>50</v>
      </c>
      <c r="D660" s="2" t="s">
        <v>231</v>
      </c>
      <c r="E660">
        <v>2016</v>
      </c>
      <c r="F660" s="2" t="s">
        <v>2</v>
      </c>
      <c r="G660">
        <v>1</v>
      </c>
      <c r="H660" s="2" t="s">
        <v>7</v>
      </c>
      <c r="I660">
        <v>1</v>
      </c>
      <c r="J660" s="2" t="s">
        <v>16</v>
      </c>
      <c r="K660">
        <v>1</v>
      </c>
      <c r="L660" s="2" t="s">
        <v>22</v>
      </c>
      <c r="M660">
        <v>1</v>
      </c>
      <c r="N660" s="2" t="s">
        <v>35</v>
      </c>
      <c r="O660">
        <v>1</v>
      </c>
    </row>
    <row r="661" spans="1:15" x14ac:dyDescent="0.35">
      <c r="A661" s="2" t="s">
        <v>90</v>
      </c>
      <c r="B661" s="2" t="s">
        <v>56</v>
      </c>
      <c r="C661" s="2" t="s">
        <v>50</v>
      </c>
      <c r="D661" s="2" t="s">
        <v>231</v>
      </c>
      <c r="E661">
        <v>2016</v>
      </c>
      <c r="F661" s="2" t="s">
        <v>2</v>
      </c>
      <c r="G661">
        <v>1</v>
      </c>
      <c r="H661" s="2" t="s">
        <v>7</v>
      </c>
      <c r="I661">
        <v>1</v>
      </c>
      <c r="J661" s="2" t="s">
        <v>16</v>
      </c>
      <c r="K661">
        <v>1</v>
      </c>
      <c r="L661" s="2" t="s">
        <v>22</v>
      </c>
      <c r="M661">
        <v>1</v>
      </c>
      <c r="N661" s="2" t="s">
        <v>46</v>
      </c>
      <c r="O661">
        <v>1</v>
      </c>
    </row>
    <row r="662" spans="1:15" x14ac:dyDescent="0.35">
      <c r="A662" s="2" t="s">
        <v>141</v>
      </c>
      <c r="B662" s="2" t="s">
        <v>56</v>
      </c>
      <c r="C662" s="2" t="s">
        <v>50</v>
      </c>
      <c r="D662" s="2" t="s">
        <v>231</v>
      </c>
      <c r="E662">
        <v>2017</v>
      </c>
      <c r="F662" s="2" t="s">
        <v>2</v>
      </c>
      <c r="G662">
        <v>1</v>
      </c>
      <c r="H662" s="2" t="s">
        <v>7</v>
      </c>
      <c r="I662">
        <v>1</v>
      </c>
      <c r="J662" s="2" t="s">
        <v>14</v>
      </c>
      <c r="K662">
        <v>1</v>
      </c>
      <c r="L662" s="2" t="s">
        <v>22</v>
      </c>
      <c r="M662">
        <v>1</v>
      </c>
      <c r="N662" s="2" t="s">
        <v>44</v>
      </c>
      <c r="O662">
        <v>1</v>
      </c>
    </row>
    <row r="663" spans="1:15" x14ac:dyDescent="0.35">
      <c r="A663" s="2" t="s">
        <v>141</v>
      </c>
      <c r="B663" s="2" t="s">
        <v>56</v>
      </c>
      <c r="C663" s="2" t="s">
        <v>50</v>
      </c>
      <c r="D663" s="2" t="s">
        <v>231</v>
      </c>
      <c r="E663">
        <v>2017</v>
      </c>
      <c r="F663" s="2" t="s">
        <v>2</v>
      </c>
      <c r="G663">
        <v>1</v>
      </c>
      <c r="H663" s="2" t="s">
        <v>7</v>
      </c>
      <c r="I663">
        <v>1</v>
      </c>
      <c r="J663" s="2" t="s">
        <v>17</v>
      </c>
      <c r="K663">
        <v>1</v>
      </c>
      <c r="L663" s="2" t="s">
        <v>22</v>
      </c>
      <c r="M663">
        <v>1</v>
      </c>
      <c r="N663" s="2" t="s">
        <v>44</v>
      </c>
      <c r="O663">
        <v>1</v>
      </c>
    </row>
    <row r="664" spans="1:15" x14ac:dyDescent="0.35">
      <c r="A664" s="2" t="s">
        <v>151</v>
      </c>
      <c r="B664" s="2" t="s">
        <v>49</v>
      </c>
      <c r="C664" s="2" t="s">
        <v>50</v>
      </c>
      <c r="D664" s="2" t="s">
        <v>231</v>
      </c>
      <c r="E664">
        <v>2021</v>
      </c>
      <c r="F664" s="2" t="s">
        <v>4</v>
      </c>
      <c r="G664">
        <v>1</v>
      </c>
      <c r="H664" s="2" t="s">
        <v>13</v>
      </c>
      <c r="I664">
        <v>1</v>
      </c>
      <c r="J664" s="2" t="s">
        <v>16</v>
      </c>
      <c r="K664">
        <v>1</v>
      </c>
      <c r="L664" s="2" t="s">
        <v>22</v>
      </c>
      <c r="M664">
        <v>1</v>
      </c>
      <c r="N664" s="2" t="s">
        <v>37</v>
      </c>
      <c r="O664">
        <v>1</v>
      </c>
    </row>
    <row r="665" spans="1:15" x14ac:dyDescent="0.35">
      <c r="A665" s="2" t="s">
        <v>151</v>
      </c>
      <c r="B665" s="2" t="s">
        <v>49</v>
      </c>
      <c r="C665" s="2" t="s">
        <v>50</v>
      </c>
      <c r="D665" s="2" t="s">
        <v>231</v>
      </c>
      <c r="E665">
        <v>2021</v>
      </c>
      <c r="F665" s="2" t="s">
        <v>4</v>
      </c>
      <c r="G665">
        <v>1</v>
      </c>
      <c r="H665" s="2" t="s">
        <v>13</v>
      </c>
      <c r="I665">
        <v>1</v>
      </c>
      <c r="J665" s="2" t="s">
        <v>16</v>
      </c>
      <c r="K665">
        <v>1</v>
      </c>
      <c r="L665" s="2" t="s">
        <v>22</v>
      </c>
      <c r="M665">
        <v>1</v>
      </c>
      <c r="N665" s="2" t="s">
        <v>38</v>
      </c>
      <c r="O665">
        <v>1</v>
      </c>
    </row>
    <row r="666" spans="1:15" x14ac:dyDescent="0.35">
      <c r="A666" s="2" t="s">
        <v>151</v>
      </c>
      <c r="B666" s="2" t="s">
        <v>49</v>
      </c>
      <c r="C666" s="2" t="s">
        <v>50</v>
      </c>
      <c r="D666" s="2" t="s">
        <v>231</v>
      </c>
      <c r="E666">
        <v>2021</v>
      </c>
      <c r="F666" s="2" t="s">
        <v>4</v>
      </c>
      <c r="G666">
        <v>1</v>
      </c>
      <c r="H666" s="2" t="s">
        <v>13</v>
      </c>
      <c r="I666">
        <v>1</v>
      </c>
      <c r="J666" s="2" t="s">
        <v>17</v>
      </c>
      <c r="K666">
        <v>1</v>
      </c>
      <c r="L666" s="2" t="s">
        <v>22</v>
      </c>
      <c r="M666">
        <v>1</v>
      </c>
      <c r="N666" s="2" t="s">
        <v>37</v>
      </c>
      <c r="O666">
        <v>1</v>
      </c>
    </row>
    <row r="667" spans="1:15" x14ac:dyDescent="0.35">
      <c r="A667" s="2" t="s">
        <v>151</v>
      </c>
      <c r="B667" s="2" t="s">
        <v>49</v>
      </c>
      <c r="C667" s="2" t="s">
        <v>50</v>
      </c>
      <c r="D667" s="2" t="s">
        <v>231</v>
      </c>
      <c r="E667">
        <v>2021</v>
      </c>
      <c r="F667" s="2" t="s">
        <v>4</v>
      </c>
      <c r="G667">
        <v>1</v>
      </c>
      <c r="H667" s="2" t="s">
        <v>13</v>
      </c>
      <c r="I667">
        <v>1</v>
      </c>
      <c r="J667" s="2" t="s">
        <v>17</v>
      </c>
      <c r="K667">
        <v>1</v>
      </c>
      <c r="L667" s="2" t="s">
        <v>22</v>
      </c>
      <c r="M667">
        <v>1</v>
      </c>
      <c r="N667" s="2" t="s">
        <v>38</v>
      </c>
      <c r="O667">
        <v>1</v>
      </c>
    </row>
    <row r="668" spans="1:15" x14ac:dyDescent="0.35">
      <c r="A668" s="2" t="s">
        <v>155</v>
      </c>
      <c r="B668" s="2" t="s">
        <v>56</v>
      </c>
      <c r="C668" s="2" t="s">
        <v>50</v>
      </c>
      <c r="D668" s="2" t="s">
        <v>231</v>
      </c>
      <c r="E668">
        <v>2012</v>
      </c>
      <c r="F668" s="2" t="s">
        <v>2</v>
      </c>
      <c r="G668">
        <v>1</v>
      </c>
      <c r="H668" s="2" t="s">
        <v>9</v>
      </c>
      <c r="I668">
        <v>1</v>
      </c>
      <c r="J668" s="2" t="s">
        <v>16</v>
      </c>
      <c r="K668">
        <v>1</v>
      </c>
      <c r="L668" s="2" t="s">
        <v>22</v>
      </c>
      <c r="M668">
        <v>1</v>
      </c>
      <c r="N668" s="2" t="s">
        <v>41</v>
      </c>
      <c r="O668">
        <v>1</v>
      </c>
    </row>
    <row r="669" spans="1:15" x14ac:dyDescent="0.35">
      <c r="A669" s="2" t="s">
        <v>155</v>
      </c>
      <c r="B669" s="2" t="s">
        <v>56</v>
      </c>
      <c r="C669" s="2" t="s">
        <v>50</v>
      </c>
      <c r="D669" s="2" t="s">
        <v>231</v>
      </c>
      <c r="E669">
        <v>2012</v>
      </c>
      <c r="F669" s="2" t="s">
        <v>2</v>
      </c>
      <c r="G669">
        <v>1</v>
      </c>
      <c r="H669" s="2" t="s">
        <v>9</v>
      </c>
      <c r="I669">
        <v>1</v>
      </c>
      <c r="J669" s="2" t="s">
        <v>16</v>
      </c>
      <c r="K669">
        <v>1</v>
      </c>
      <c r="L669" s="2" t="s">
        <v>22</v>
      </c>
      <c r="M669">
        <v>1</v>
      </c>
      <c r="N669" s="2" t="s">
        <v>44</v>
      </c>
      <c r="O669">
        <v>1</v>
      </c>
    </row>
    <row r="670" spans="1:15" x14ac:dyDescent="0.35">
      <c r="A670" s="2" t="s">
        <v>155</v>
      </c>
      <c r="B670" s="2" t="s">
        <v>56</v>
      </c>
      <c r="C670" s="2" t="s">
        <v>50</v>
      </c>
      <c r="D670" s="2" t="s">
        <v>231</v>
      </c>
      <c r="E670">
        <v>2012</v>
      </c>
      <c r="F670" s="2" t="s">
        <v>2</v>
      </c>
      <c r="G670">
        <v>1</v>
      </c>
      <c r="H670" s="2" t="s">
        <v>9</v>
      </c>
      <c r="I670">
        <v>1</v>
      </c>
      <c r="J670" s="2" t="s">
        <v>17</v>
      </c>
      <c r="K670">
        <v>1</v>
      </c>
      <c r="L670" s="2" t="s">
        <v>22</v>
      </c>
      <c r="M670">
        <v>1</v>
      </c>
      <c r="N670" s="2" t="s">
        <v>41</v>
      </c>
      <c r="O670">
        <v>1</v>
      </c>
    </row>
    <row r="671" spans="1:15" x14ac:dyDescent="0.35">
      <c r="A671" s="2" t="s">
        <v>155</v>
      </c>
      <c r="B671" s="2" t="s">
        <v>56</v>
      </c>
      <c r="C671" s="2" t="s">
        <v>50</v>
      </c>
      <c r="D671" s="2" t="s">
        <v>231</v>
      </c>
      <c r="E671">
        <v>2012</v>
      </c>
      <c r="F671" s="2" t="s">
        <v>2</v>
      </c>
      <c r="G671">
        <v>1</v>
      </c>
      <c r="H671" s="2" t="s">
        <v>9</v>
      </c>
      <c r="I671">
        <v>1</v>
      </c>
      <c r="J671" s="2" t="s">
        <v>17</v>
      </c>
      <c r="K671">
        <v>1</v>
      </c>
      <c r="L671" s="2" t="s">
        <v>22</v>
      </c>
      <c r="M671">
        <v>1</v>
      </c>
      <c r="N671" s="2" t="s">
        <v>44</v>
      </c>
      <c r="O671">
        <v>1</v>
      </c>
    </row>
    <row r="672" spans="1:15" x14ac:dyDescent="0.35">
      <c r="A672" s="2" t="s">
        <v>163</v>
      </c>
      <c r="B672" s="2" t="s">
        <v>56</v>
      </c>
      <c r="C672" s="2" t="s">
        <v>50</v>
      </c>
      <c r="D672" s="2" t="s">
        <v>231</v>
      </c>
      <c r="E672">
        <v>2021</v>
      </c>
      <c r="F672" s="2" t="s">
        <v>2</v>
      </c>
      <c r="G672">
        <v>1</v>
      </c>
      <c r="H672" s="2" t="s">
        <v>7</v>
      </c>
      <c r="I672">
        <v>1</v>
      </c>
      <c r="J672" s="2" t="s">
        <v>15</v>
      </c>
      <c r="K672">
        <v>1</v>
      </c>
      <c r="L672" s="2" t="s">
        <v>22</v>
      </c>
      <c r="M672">
        <v>1</v>
      </c>
      <c r="N672" s="2" t="s">
        <v>32</v>
      </c>
      <c r="O672">
        <v>1</v>
      </c>
    </row>
    <row r="673" spans="1:15" x14ac:dyDescent="0.35">
      <c r="A673" s="2" t="s">
        <v>163</v>
      </c>
      <c r="B673" s="2" t="s">
        <v>56</v>
      </c>
      <c r="C673" s="2" t="s">
        <v>50</v>
      </c>
      <c r="D673" s="2" t="s">
        <v>231</v>
      </c>
      <c r="E673">
        <v>2021</v>
      </c>
      <c r="F673" s="2" t="s">
        <v>2</v>
      </c>
      <c r="G673">
        <v>1</v>
      </c>
      <c r="H673" s="2" t="s">
        <v>7</v>
      </c>
      <c r="I673">
        <v>1</v>
      </c>
      <c r="J673" s="2" t="s">
        <v>15</v>
      </c>
      <c r="K673">
        <v>1</v>
      </c>
      <c r="L673" s="2" t="s">
        <v>22</v>
      </c>
      <c r="M673">
        <v>1</v>
      </c>
      <c r="N673" s="2" t="s">
        <v>33</v>
      </c>
      <c r="O673">
        <v>1</v>
      </c>
    </row>
    <row r="674" spans="1:15" x14ac:dyDescent="0.35">
      <c r="A674" s="2" t="s">
        <v>163</v>
      </c>
      <c r="B674" s="2" t="s">
        <v>56</v>
      </c>
      <c r="C674" s="2" t="s">
        <v>50</v>
      </c>
      <c r="D674" s="2" t="s">
        <v>231</v>
      </c>
      <c r="E674">
        <v>2021</v>
      </c>
      <c r="F674" s="2" t="s">
        <v>2</v>
      </c>
      <c r="G674">
        <v>1</v>
      </c>
      <c r="H674" s="2" t="s">
        <v>7</v>
      </c>
      <c r="I674">
        <v>1</v>
      </c>
      <c r="J674" s="2" t="s">
        <v>16</v>
      </c>
      <c r="K674">
        <v>1</v>
      </c>
      <c r="L674" s="2" t="s">
        <v>22</v>
      </c>
      <c r="M674">
        <v>1</v>
      </c>
      <c r="N674" s="2" t="s">
        <v>32</v>
      </c>
      <c r="O674">
        <v>1</v>
      </c>
    </row>
    <row r="675" spans="1:15" x14ac:dyDescent="0.35">
      <c r="A675" s="2" t="s">
        <v>163</v>
      </c>
      <c r="B675" s="2" t="s">
        <v>56</v>
      </c>
      <c r="C675" s="2" t="s">
        <v>50</v>
      </c>
      <c r="D675" s="2" t="s">
        <v>231</v>
      </c>
      <c r="E675">
        <v>2021</v>
      </c>
      <c r="F675" s="2" t="s">
        <v>2</v>
      </c>
      <c r="G675">
        <v>1</v>
      </c>
      <c r="H675" s="2" t="s">
        <v>7</v>
      </c>
      <c r="I675">
        <v>1</v>
      </c>
      <c r="J675" s="2" t="s">
        <v>16</v>
      </c>
      <c r="K675">
        <v>1</v>
      </c>
      <c r="L675" s="2" t="s">
        <v>22</v>
      </c>
      <c r="M675">
        <v>1</v>
      </c>
      <c r="N675" s="2" t="s">
        <v>33</v>
      </c>
      <c r="O675">
        <v>1</v>
      </c>
    </row>
    <row r="676" spans="1:15" x14ac:dyDescent="0.35">
      <c r="A676" s="2" t="s">
        <v>167</v>
      </c>
      <c r="B676" s="2" t="s">
        <v>49</v>
      </c>
      <c r="C676" s="2" t="s">
        <v>50</v>
      </c>
      <c r="D676" s="2" t="s">
        <v>231</v>
      </c>
      <c r="E676">
        <v>2013</v>
      </c>
      <c r="F676" s="2" t="s">
        <v>4</v>
      </c>
      <c r="G676">
        <v>1</v>
      </c>
      <c r="H676" s="2" t="s">
        <v>13</v>
      </c>
      <c r="I676">
        <v>1</v>
      </c>
      <c r="J676" s="2" t="s">
        <v>16</v>
      </c>
      <c r="K676">
        <v>1</v>
      </c>
      <c r="L676" s="2" t="s">
        <v>22</v>
      </c>
      <c r="M676">
        <v>1</v>
      </c>
      <c r="N676" s="2" t="s">
        <v>37</v>
      </c>
      <c r="O676">
        <v>1</v>
      </c>
    </row>
    <row r="677" spans="1:15" x14ac:dyDescent="0.35">
      <c r="A677" s="2" t="s">
        <v>167</v>
      </c>
      <c r="B677" s="2" t="s">
        <v>49</v>
      </c>
      <c r="C677" s="2" t="s">
        <v>50</v>
      </c>
      <c r="D677" s="2" t="s">
        <v>231</v>
      </c>
      <c r="E677">
        <v>2013</v>
      </c>
      <c r="F677" s="2" t="s">
        <v>4</v>
      </c>
      <c r="G677">
        <v>1</v>
      </c>
      <c r="H677" s="2" t="s">
        <v>13</v>
      </c>
      <c r="I677">
        <v>1</v>
      </c>
      <c r="J677" s="2" t="s">
        <v>16</v>
      </c>
      <c r="K677">
        <v>1</v>
      </c>
      <c r="L677" s="2" t="s">
        <v>22</v>
      </c>
      <c r="M677">
        <v>1</v>
      </c>
      <c r="N677" s="2" t="s">
        <v>38</v>
      </c>
      <c r="O677">
        <v>1</v>
      </c>
    </row>
    <row r="678" spans="1:15" x14ac:dyDescent="0.35">
      <c r="A678" s="2" t="s">
        <v>167</v>
      </c>
      <c r="B678" s="2" t="s">
        <v>49</v>
      </c>
      <c r="C678" s="2" t="s">
        <v>50</v>
      </c>
      <c r="D678" s="2" t="s">
        <v>231</v>
      </c>
      <c r="E678">
        <v>2013</v>
      </c>
      <c r="F678" s="2" t="s">
        <v>4</v>
      </c>
      <c r="G678">
        <v>1</v>
      </c>
      <c r="H678" s="2" t="s">
        <v>13</v>
      </c>
      <c r="I678">
        <v>1</v>
      </c>
      <c r="J678" s="2" t="s">
        <v>16</v>
      </c>
      <c r="K678">
        <v>1</v>
      </c>
      <c r="L678" s="2" t="s">
        <v>22</v>
      </c>
      <c r="M678">
        <v>1</v>
      </c>
      <c r="N678" s="2" t="s">
        <v>39</v>
      </c>
      <c r="O678">
        <v>1</v>
      </c>
    </row>
    <row r="679" spans="1:15" x14ac:dyDescent="0.35">
      <c r="A679" s="2" t="s">
        <v>167</v>
      </c>
      <c r="B679" s="2" t="s">
        <v>49</v>
      </c>
      <c r="C679" s="2" t="s">
        <v>50</v>
      </c>
      <c r="D679" s="2" t="s">
        <v>231</v>
      </c>
      <c r="E679">
        <v>2013</v>
      </c>
      <c r="F679" s="2" t="s">
        <v>4</v>
      </c>
      <c r="G679">
        <v>1</v>
      </c>
      <c r="H679" s="2" t="s">
        <v>13</v>
      </c>
      <c r="I679">
        <v>1</v>
      </c>
      <c r="J679" s="2" t="s">
        <v>16</v>
      </c>
      <c r="K679">
        <v>1</v>
      </c>
      <c r="L679" s="2" t="s">
        <v>22</v>
      </c>
      <c r="M679">
        <v>1</v>
      </c>
      <c r="N679" s="2" t="s">
        <v>44</v>
      </c>
      <c r="O679">
        <v>1</v>
      </c>
    </row>
    <row r="680" spans="1:15" x14ac:dyDescent="0.35">
      <c r="A680" s="2" t="s">
        <v>167</v>
      </c>
      <c r="B680" s="2" t="s">
        <v>49</v>
      </c>
      <c r="C680" s="2" t="s">
        <v>50</v>
      </c>
      <c r="D680" s="2" t="s">
        <v>231</v>
      </c>
      <c r="E680">
        <v>2013</v>
      </c>
      <c r="F680" s="2" t="s">
        <v>4</v>
      </c>
      <c r="G680">
        <v>1</v>
      </c>
      <c r="H680" s="2" t="s">
        <v>13</v>
      </c>
      <c r="I680">
        <v>1</v>
      </c>
      <c r="J680" s="2" t="s">
        <v>17</v>
      </c>
      <c r="K680">
        <v>1</v>
      </c>
      <c r="L680" s="2" t="s">
        <v>22</v>
      </c>
      <c r="M680">
        <v>1</v>
      </c>
      <c r="N680" s="2" t="s">
        <v>37</v>
      </c>
      <c r="O680">
        <v>1</v>
      </c>
    </row>
    <row r="681" spans="1:15" x14ac:dyDescent="0.35">
      <c r="A681" s="2" t="s">
        <v>167</v>
      </c>
      <c r="B681" s="2" t="s">
        <v>49</v>
      </c>
      <c r="C681" s="2" t="s">
        <v>50</v>
      </c>
      <c r="D681" s="2" t="s">
        <v>231</v>
      </c>
      <c r="E681">
        <v>2013</v>
      </c>
      <c r="F681" s="2" t="s">
        <v>4</v>
      </c>
      <c r="G681">
        <v>1</v>
      </c>
      <c r="H681" s="2" t="s">
        <v>13</v>
      </c>
      <c r="I681">
        <v>1</v>
      </c>
      <c r="J681" s="2" t="s">
        <v>17</v>
      </c>
      <c r="K681">
        <v>1</v>
      </c>
      <c r="L681" s="2" t="s">
        <v>22</v>
      </c>
      <c r="M681">
        <v>1</v>
      </c>
      <c r="N681" s="2" t="s">
        <v>38</v>
      </c>
      <c r="O681">
        <v>1</v>
      </c>
    </row>
    <row r="682" spans="1:15" x14ac:dyDescent="0.35">
      <c r="A682" s="2" t="s">
        <v>167</v>
      </c>
      <c r="B682" s="2" t="s">
        <v>49</v>
      </c>
      <c r="C682" s="2" t="s">
        <v>50</v>
      </c>
      <c r="D682" s="2" t="s">
        <v>231</v>
      </c>
      <c r="E682">
        <v>2013</v>
      </c>
      <c r="F682" s="2" t="s">
        <v>4</v>
      </c>
      <c r="G682">
        <v>1</v>
      </c>
      <c r="H682" s="2" t="s">
        <v>13</v>
      </c>
      <c r="I682">
        <v>1</v>
      </c>
      <c r="J682" s="2" t="s">
        <v>17</v>
      </c>
      <c r="K682">
        <v>1</v>
      </c>
      <c r="L682" s="2" t="s">
        <v>22</v>
      </c>
      <c r="M682">
        <v>1</v>
      </c>
      <c r="N682" s="2" t="s">
        <v>39</v>
      </c>
      <c r="O682">
        <v>1</v>
      </c>
    </row>
    <row r="683" spans="1:15" x14ac:dyDescent="0.35">
      <c r="A683" s="2" t="s">
        <v>167</v>
      </c>
      <c r="B683" s="2" t="s">
        <v>49</v>
      </c>
      <c r="C683" s="2" t="s">
        <v>50</v>
      </c>
      <c r="D683" s="2" t="s">
        <v>231</v>
      </c>
      <c r="E683">
        <v>2013</v>
      </c>
      <c r="F683" s="2" t="s">
        <v>4</v>
      </c>
      <c r="G683">
        <v>1</v>
      </c>
      <c r="H683" s="2" t="s">
        <v>13</v>
      </c>
      <c r="I683">
        <v>1</v>
      </c>
      <c r="J683" s="2" t="s">
        <v>17</v>
      </c>
      <c r="K683">
        <v>1</v>
      </c>
      <c r="L683" s="2" t="s">
        <v>22</v>
      </c>
      <c r="M683">
        <v>1</v>
      </c>
      <c r="N683" s="2" t="s">
        <v>44</v>
      </c>
      <c r="O683">
        <v>1</v>
      </c>
    </row>
    <row r="684" spans="1:15" x14ac:dyDescent="0.35">
      <c r="A684" s="2" t="s">
        <v>168</v>
      </c>
      <c r="B684" s="2" t="s">
        <v>56</v>
      </c>
      <c r="C684" s="2" t="s">
        <v>50</v>
      </c>
      <c r="D684" s="2" t="s">
        <v>231</v>
      </c>
      <c r="E684">
        <v>2014</v>
      </c>
      <c r="F684" s="2" t="s">
        <v>4</v>
      </c>
      <c r="G684">
        <v>1</v>
      </c>
      <c r="H684" s="2" t="s">
        <v>7</v>
      </c>
      <c r="I684">
        <v>1</v>
      </c>
      <c r="J684" s="2" t="s">
        <v>16</v>
      </c>
      <c r="K684">
        <v>1</v>
      </c>
      <c r="L684" s="2" t="s">
        <v>22</v>
      </c>
      <c r="M684">
        <v>1</v>
      </c>
      <c r="N684" s="2" t="s">
        <v>32</v>
      </c>
      <c r="O684">
        <v>1</v>
      </c>
    </row>
    <row r="685" spans="1:15" x14ac:dyDescent="0.35">
      <c r="A685" s="2" t="s">
        <v>168</v>
      </c>
      <c r="B685" s="2" t="s">
        <v>56</v>
      </c>
      <c r="C685" s="2" t="s">
        <v>50</v>
      </c>
      <c r="D685" s="2" t="s">
        <v>231</v>
      </c>
      <c r="E685">
        <v>2014</v>
      </c>
      <c r="F685" s="2" t="s">
        <v>4</v>
      </c>
      <c r="G685">
        <v>1</v>
      </c>
      <c r="H685" s="2" t="s">
        <v>7</v>
      </c>
      <c r="I685">
        <v>1</v>
      </c>
      <c r="J685" s="2" t="s">
        <v>16</v>
      </c>
      <c r="K685">
        <v>1</v>
      </c>
      <c r="L685" s="2" t="s">
        <v>22</v>
      </c>
      <c r="M685">
        <v>1</v>
      </c>
      <c r="N685" s="2" t="s">
        <v>35</v>
      </c>
      <c r="O685">
        <v>1</v>
      </c>
    </row>
    <row r="686" spans="1:15" x14ac:dyDescent="0.35">
      <c r="A686" s="2" t="s">
        <v>168</v>
      </c>
      <c r="B686" s="2" t="s">
        <v>56</v>
      </c>
      <c r="C686" s="2" t="s">
        <v>50</v>
      </c>
      <c r="D686" s="2" t="s">
        <v>231</v>
      </c>
      <c r="E686">
        <v>2014</v>
      </c>
      <c r="F686" s="2" t="s">
        <v>4</v>
      </c>
      <c r="G686">
        <v>1</v>
      </c>
      <c r="H686" s="2" t="s">
        <v>7</v>
      </c>
      <c r="I686">
        <v>1</v>
      </c>
      <c r="J686" s="2" t="s">
        <v>16</v>
      </c>
      <c r="K686">
        <v>1</v>
      </c>
      <c r="L686" s="2" t="s">
        <v>22</v>
      </c>
      <c r="M686">
        <v>1</v>
      </c>
      <c r="N686" s="2" t="s">
        <v>37</v>
      </c>
      <c r="O686">
        <v>1</v>
      </c>
    </row>
    <row r="687" spans="1:15" x14ac:dyDescent="0.35">
      <c r="A687" s="2" t="s">
        <v>168</v>
      </c>
      <c r="B687" s="2" t="s">
        <v>56</v>
      </c>
      <c r="C687" s="2" t="s">
        <v>50</v>
      </c>
      <c r="D687" s="2" t="s">
        <v>231</v>
      </c>
      <c r="E687">
        <v>2014</v>
      </c>
      <c r="F687" s="2" t="s">
        <v>4</v>
      </c>
      <c r="G687">
        <v>1</v>
      </c>
      <c r="H687" s="2" t="s">
        <v>7</v>
      </c>
      <c r="I687">
        <v>1</v>
      </c>
      <c r="J687" s="2" t="s">
        <v>16</v>
      </c>
      <c r="K687">
        <v>1</v>
      </c>
      <c r="L687" s="2" t="s">
        <v>22</v>
      </c>
      <c r="M687">
        <v>1</v>
      </c>
      <c r="N687" s="2" t="s">
        <v>38</v>
      </c>
      <c r="O687">
        <v>1</v>
      </c>
    </row>
    <row r="688" spans="1:15" x14ac:dyDescent="0.35">
      <c r="A688" s="2" t="s">
        <v>168</v>
      </c>
      <c r="B688" s="2" t="s">
        <v>56</v>
      </c>
      <c r="C688" s="2" t="s">
        <v>50</v>
      </c>
      <c r="D688" s="2" t="s">
        <v>231</v>
      </c>
      <c r="E688">
        <v>2014</v>
      </c>
      <c r="F688" s="2" t="s">
        <v>4</v>
      </c>
      <c r="G688">
        <v>1</v>
      </c>
      <c r="H688" s="2" t="s">
        <v>7</v>
      </c>
      <c r="I688">
        <v>1</v>
      </c>
      <c r="J688" s="2" t="s">
        <v>16</v>
      </c>
      <c r="K688">
        <v>1</v>
      </c>
      <c r="L688" s="2" t="s">
        <v>22</v>
      </c>
      <c r="M688">
        <v>1</v>
      </c>
      <c r="N688" s="2" t="s">
        <v>40</v>
      </c>
      <c r="O688">
        <v>1</v>
      </c>
    </row>
    <row r="689" spans="1:15" x14ac:dyDescent="0.35">
      <c r="A689" s="2" t="s">
        <v>168</v>
      </c>
      <c r="B689" s="2" t="s">
        <v>56</v>
      </c>
      <c r="C689" s="2" t="s">
        <v>50</v>
      </c>
      <c r="D689" s="2" t="s">
        <v>231</v>
      </c>
      <c r="E689">
        <v>2014</v>
      </c>
      <c r="F689" s="2" t="s">
        <v>4</v>
      </c>
      <c r="G689">
        <v>1</v>
      </c>
      <c r="H689" s="2" t="s">
        <v>7</v>
      </c>
      <c r="I689">
        <v>1</v>
      </c>
      <c r="J689" s="2" t="s">
        <v>16</v>
      </c>
      <c r="K689">
        <v>1</v>
      </c>
      <c r="L689" s="2" t="s">
        <v>22</v>
      </c>
      <c r="M689">
        <v>1</v>
      </c>
      <c r="N689" s="2" t="s">
        <v>41</v>
      </c>
      <c r="O689">
        <v>1</v>
      </c>
    </row>
    <row r="690" spans="1:15" x14ac:dyDescent="0.35">
      <c r="A690" s="2" t="s">
        <v>168</v>
      </c>
      <c r="B690" s="2" t="s">
        <v>56</v>
      </c>
      <c r="C690" s="2" t="s">
        <v>50</v>
      </c>
      <c r="D690" s="2" t="s">
        <v>231</v>
      </c>
      <c r="E690">
        <v>2014</v>
      </c>
      <c r="F690" s="2" t="s">
        <v>4</v>
      </c>
      <c r="G690">
        <v>1</v>
      </c>
      <c r="H690" s="2" t="s">
        <v>7</v>
      </c>
      <c r="I690">
        <v>1</v>
      </c>
      <c r="J690" s="2" t="s">
        <v>16</v>
      </c>
      <c r="K690">
        <v>1</v>
      </c>
      <c r="L690" s="2" t="s">
        <v>22</v>
      </c>
      <c r="M690">
        <v>1</v>
      </c>
      <c r="N690" s="2" t="s">
        <v>46</v>
      </c>
      <c r="O690">
        <v>1</v>
      </c>
    </row>
    <row r="691" spans="1:15" x14ac:dyDescent="0.35">
      <c r="A691" s="2" t="s">
        <v>168</v>
      </c>
      <c r="B691" s="2" t="s">
        <v>56</v>
      </c>
      <c r="C691" s="2" t="s">
        <v>50</v>
      </c>
      <c r="D691" s="2" t="s">
        <v>231</v>
      </c>
      <c r="E691">
        <v>2014</v>
      </c>
      <c r="F691" s="2" t="s">
        <v>4</v>
      </c>
      <c r="G691">
        <v>1</v>
      </c>
      <c r="H691" s="2" t="s">
        <v>7</v>
      </c>
      <c r="I691">
        <v>1</v>
      </c>
      <c r="J691" s="2" t="s">
        <v>17</v>
      </c>
      <c r="K691">
        <v>1</v>
      </c>
      <c r="L691" s="2" t="s">
        <v>22</v>
      </c>
      <c r="M691">
        <v>1</v>
      </c>
      <c r="N691" s="2" t="s">
        <v>32</v>
      </c>
      <c r="O691">
        <v>1</v>
      </c>
    </row>
    <row r="692" spans="1:15" x14ac:dyDescent="0.35">
      <c r="A692" s="2" t="s">
        <v>168</v>
      </c>
      <c r="B692" s="2" t="s">
        <v>56</v>
      </c>
      <c r="C692" s="2" t="s">
        <v>50</v>
      </c>
      <c r="D692" s="2" t="s">
        <v>231</v>
      </c>
      <c r="E692">
        <v>2014</v>
      </c>
      <c r="F692" s="2" t="s">
        <v>4</v>
      </c>
      <c r="G692">
        <v>1</v>
      </c>
      <c r="H692" s="2" t="s">
        <v>7</v>
      </c>
      <c r="I692">
        <v>1</v>
      </c>
      <c r="J692" s="2" t="s">
        <v>17</v>
      </c>
      <c r="K692">
        <v>1</v>
      </c>
      <c r="L692" s="2" t="s">
        <v>22</v>
      </c>
      <c r="M692">
        <v>1</v>
      </c>
      <c r="N692" s="2" t="s">
        <v>35</v>
      </c>
      <c r="O692">
        <v>1</v>
      </c>
    </row>
    <row r="693" spans="1:15" x14ac:dyDescent="0.35">
      <c r="A693" s="2" t="s">
        <v>168</v>
      </c>
      <c r="B693" s="2" t="s">
        <v>56</v>
      </c>
      <c r="C693" s="2" t="s">
        <v>50</v>
      </c>
      <c r="D693" s="2" t="s">
        <v>231</v>
      </c>
      <c r="E693">
        <v>2014</v>
      </c>
      <c r="F693" s="2" t="s">
        <v>4</v>
      </c>
      <c r="G693">
        <v>1</v>
      </c>
      <c r="H693" s="2" t="s">
        <v>7</v>
      </c>
      <c r="I693">
        <v>1</v>
      </c>
      <c r="J693" s="2" t="s">
        <v>17</v>
      </c>
      <c r="K693">
        <v>1</v>
      </c>
      <c r="L693" s="2" t="s">
        <v>22</v>
      </c>
      <c r="M693">
        <v>1</v>
      </c>
      <c r="N693" s="2" t="s">
        <v>37</v>
      </c>
      <c r="O693">
        <v>1</v>
      </c>
    </row>
    <row r="694" spans="1:15" x14ac:dyDescent="0.35">
      <c r="A694" s="2" t="s">
        <v>168</v>
      </c>
      <c r="B694" s="2" t="s">
        <v>56</v>
      </c>
      <c r="C694" s="2" t="s">
        <v>50</v>
      </c>
      <c r="D694" s="2" t="s">
        <v>231</v>
      </c>
      <c r="E694">
        <v>2014</v>
      </c>
      <c r="F694" s="2" t="s">
        <v>4</v>
      </c>
      <c r="G694">
        <v>1</v>
      </c>
      <c r="H694" s="2" t="s">
        <v>7</v>
      </c>
      <c r="I694">
        <v>1</v>
      </c>
      <c r="J694" s="2" t="s">
        <v>17</v>
      </c>
      <c r="K694">
        <v>1</v>
      </c>
      <c r="L694" s="2" t="s">
        <v>22</v>
      </c>
      <c r="M694">
        <v>1</v>
      </c>
      <c r="N694" s="2" t="s">
        <v>38</v>
      </c>
      <c r="O694">
        <v>1</v>
      </c>
    </row>
    <row r="695" spans="1:15" x14ac:dyDescent="0.35">
      <c r="A695" s="2" t="s">
        <v>168</v>
      </c>
      <c r="B695" s="2" t="s">
        <v>56</v>
      </c>
      <c r="C695" s="2" t="s">
        <v>50</v>
      </c>
      <c r="D695" s="2" t="s">
        <v>231</v>
      </c>
      <c r="E695">
        <v>2014</v>
      </c>
      <c r="F695" s="2" t="s">
        <v>4</v>
      </c>
      <c r="G695">
        <v>1</v>
      </c>
      <c r="H695" s="2" t="s">
        <v>7</v>
      </c>
      <c r="I695">
        <v>1</v>
      </c>
      <c r="J695" s="2" t="s">
        <v>17</v>
      </c>
      <c r="K695">
        <v>1</v>
      </c>
      <c r="L695" s="2" t="s">
        <v>22</v>
      </c>
      <c r="M695">
        <v>1</v>
      </c>
      <c r="N695" s="2" t="s">
        <v>40</v>
      </c>
      <c r="O695">
        <v>1</v>
      </c>
    </row>
    <row r="696" spans="1:15" x14ac:dyDescent="0.35">
      <c r="A696" s="2" t="s">
        <v>168</v>
      </c>
      <c r="B696" s="2" t="s">
        <v>56</v>
      </c>
      <c r="C696" s="2" t="s">
        <v>50</v>
      </c>
      <c r="D696" s="2" t="s">
        <v>231</v>
      </c>
      <c r="E696">
        <v>2014</v>
      </c>
      <c r="F696" s="2" t="s">
        <v>4</v>
      </c>
      <c r="G696">
        <v>1</v>
      </c>
      <c r="H696" s="2" t="s">
        <v>7</v>
      </c>
      <c r="I696">
        <v>1</v>
      </c>
      <c r="J696" s="2" t="s">
        <v>17</v>
      </c>
      <c r="K696">
        <v>1</v>
      </c>
      <c r="L696" s="2" t="s">
        <v>22</v>
      </c>
      <c r="M696">
        <v>1</v>
      </c>
      <c r="N696" s="2" t="s">
        <v>41</v>
      </c>
      <c r="O696">
        <v>1</v>
      </c>
    </row>
    <row r="697" spans="1:15" x14ac:dyDescent="0.35">
      <c r="A697" s="2" t="s">
        <v>168</v>
      </c>
      <c r="B697" s="2" t="s">
        <v>56</v>
      </c>
      <c r="C697" s="2" t="s">
        <v>50</v>
      </c>
      <c r="D697" s="2" t="s">
        <v>231</v>
      </c>
      <c r="E697">
        <v>2014</v>
      </c>
      <c r="F697" s="2" t="s">
        <v>4</v>
      </c>
      <c r="G697">
        <v>1</v>
      </c>
      <c r="H697" s="2" t="s">
        <v>7</v>
      </c>
      <c r="I697">
        <v>1</v>
      </c>
      <c r="J697" s="2" t="s">
        <v>17</v>
      </c>
      <c r="K697">
        <v>1</v>
      </c>
      <c r="L697" s="2" t="s">
        <v>22</v>
      </c>
      <c r="M697">
        <v>1</v>
      </c>
      <c r="N697" s="2" t="s">
        <v>46</v>
      </c>
      <c r="O697">
        <v>1</v>
      </c>
    </row>
    <row r="698" spans="1:15" x14ac:dyDescent="0.35">
      <c r="A698" s="2" t="s">
        <v>179</v>
      </c>
      <c r="B698" s="2" t="s">
        <v>66</v>
      </c>
      <c r="C698" s="2" t="s">
        <v>50</v>
      </c>
      <c r="D698" s="2" t="s">
        <v>231</v>
      </c>
      <c r="E698">
        <v>2018</v>
      </c>
      <c r="F698" s="2" t="s">
        <v>4</v>
      </c>
      <c r="G698">
        <v>1</v>
      </c>
      <c r="H698" s="2" t="s">
        <v>13</v>
      </c>
      <c r="I698">
        <v>1</v>
      </c>
      <c r="J698" s="2" t="s">
        <v>14</v>
      </c>
      <c r="K698">
        <v>1</v>
      </c>
      <c r="L698" s="2" t="s">
        <v>22</v>
      </c>
      <c r="M698">
        <v>1</v>
      </c>
      <c r="N698" s="2" t="s">
        <v>32</v>
      </c>
      <c r="O698">
        <v>1</v>
      </c>
    </row>
    <row r="699" spans="1:15" x14ac:dyDescent="0.35">
      <c r="A699" s="2" t="s">
        <v>179</v>
      </c>
      <c r="B699" s="2" t="s">
        <v>66</v>
      </c>
      <c r="C699" s="2" t="s">
        <v>50</v>
      </c>
      <c r="D699" s="2" t="s">
        <v>231</v>
      </c>
      <c r="E699">
        <v>2018</v>
      </c>
      <c r="F699" s="2" t="s">
        <v>4</v>
      </c>
      <c r="G699">
        <v>1</v>
      </c>
      <c r="H699" s="2" t="s">
        <v>13</v>
      </c>
      <c r="I699">
        <v>1</v>
      </c>
      <c r="J699" s="2" t="s">
        <v>14</v>
      </c>
      <c r="K699">
        <v>1</v>
      </c>
      <c r="L699" s="2" t="s">
        <v>22</v>
      </c>
      <c r="M699">
        <v>1</v>
      </c>
      <c r="N699" s="2" t="s">
        <v>38</v>
      </c>
      <c r="O699">
        <v>1</v>
      </c>
    </row>
    <row r="700" spans="1:15" x14ac:dyDescent="0.35">
      <c r="A700" s="2" t="s">
        <v>179</v>
      </c>
      <c r="B700" s="2" t="s">
        <v>66</v>
      </c>
      <c r="C700" s="2" t="s">
        <v>50</v>
      </c>
      <c r="D700" s="2" t="s">
        <v>231</v>
      </c>
      <c r="E700">
        <v>2018</v>
      </c>
      <c r="F700" s="2" t="s">
        <v>4</v>
      </c>
      <c r="G700">
        <v>1</v>
      </c>
      <c r="H700" s="2" t="s">
        <v>13</v>
      </c>
      <c r="I700">
        <v>1</v>
      </c>
      <c r="J700" s="2" t="s">
        <v>14</v>
      </c>
      <c r="K700">
        <v>1</v>
      </c>
      <c r="L700" s="2" t="s">
        <v>22</v>
      </c>
      <c r="M700">
        <v>1</v>
      </c>
      <c r="N700" s="2" t="s">
        <v>44</v>
      </c>
      <c r="O700">
        <v>1</v>
      </c>
    </row>
    <row r="701" spans="1:15" x14ac:dyDescent="0.35">
      <c r="A701" s="2" t="s">
        <v>179</v>
      </c>
      <c r="B701" s="2" t="s">
        <v>66</v>
      </c>
      <c r="C701" s="2" t="s">
        <v>50</v>
      </c>
      <c r="D701" s="2" t="s">
        <v>231</v>
      </c>
      <c r="E701">
        <v>2018</v>
      </c>
      <c r="F701" s="2" t="s">
        <v>4</v>
      </c>
      <c r="G701">
        <v>1</v>
      </c>
      <c r="H701" s="2" t="s">
        <v>13</v>
      </c>
      <c r="I701">
        <v>1</v>
      </c>
      <c r="J701" s="2" t="s">
        <v>17</v>
      </c>
      <c r="K701">
        <v>1</v>
      </c>
      <c r="L701" s="2" t="s">
        <v>22</v>
      </c>
      <c r="M701">
        <v>1</v>
      </c>
      <c r="N701" s="2" t="s">
        <v>32</v>
      </c>
      <c r="O701">
        <v>1</v>
      </c>
    </row>
    <row r="702" spans="1:15" x14ac:dyDescent="0.35">
      <c r="A702" s="2" t="s">
        <v>179</v>
      </c>
      <c r="B702" s="2" t="s">
        <v>66</v>
      </c>
      <c r="C702" s="2" t="s">
        <v>50</v>
      </c>
      <c r="D702" s="2" t="s">
        <v>231</v>
      </c>
      <c r="E702">
        <v>2018</v>
      </c>
      <c r="F702" s="2" t="s">
        <v>4</v>
      </c>
      <c r="G702">
        <v>1</v>
      </c>
      <c r="H702" s="2" t="s">
        <v>13</v>
      </c>
      <c r="I702">
        <v>1</v>
      </c>
      <c r="J702" s="2" t="s">
        <v>17</v>
      </c>
      <c r="K702">
        <v>1</v>
      </c>
      <c r="L702" s="2" t="s">
        <v>22</v>
      </c>
      <c r="M702">
        <v>1</v>
      </c>
      <c r="N702" s="2" t="s">
        <v>38</v>
      </c>
      <c r="O702">
        <v>1</v>
      </c>
    </row>
    <row r="703" spans="1:15" x14ac:dyDescent="0.35">
      <c r="A703" s="2" t="s">
        <v>179</v>
      </c>
      <c r="B703" s="2" t="s">
        <v>66</v>
      </c>
      <c r="C703" s="2" t="s">
        <v>50</v>
      </c>
      <c r="D703" s="2" t="s">
        <v>231</v>
      </c>
      <c r="E703">
        <v>2018</v>
      </c>
      <c r="F703" s="2" t="s">
        <v>4</v>
      </c>
      <c r="G703">
        <v>1</v>
      </c>
      <c r="H703" s="2" t="s">
        <v>13</v>
      </c>
      <c r="I703">
        <v>1</v>
      </c>
      <c r="J703" s="2" t="s">
        <v>17</v>
      </c>
      <c r="K703">
        <v>1</v>
      </c>
      <c r="L703" s="2" t="s">
        <v>22</v>
      </c>
      <c r="M703">
        <v>1</v>
      </c>
      <c r="N703" s="2" t="s">
        <v>44</v>
      </c>
      <c r="O703">
        <v>1</v>
      </c>
    </row>
    <row r="704" spans="1:15" x14ac:dyDescent="0.35">
      <c r="A704" s="2" t="s">
        <v>183</v>
      </c>
      <c r="B704" s="2" t="s">
        <v>56</v>
      </c>
      <c r="C704" s="2" t="s">
        <v>50</v>
      </c>
      <c r="D704" s="2" t="s">
        <v>231</v>
      </c>
      <c r="E704">
        <v>2012</v>
      </c>
      <c r="F704" s="2" t="s">
        <v>4</v>
      </c>
      <c r="G704">
        <v>1</v>
      </c>
      <c r="H704" s="2" t="s">
        <v>7</v>
      </c>
      <c r="I704">
        <v>1</v>
      </c>
      <c r="J704" s="2" t="s">
        <v>16</v>
      </c>
      <c r="K704">
        <v>1</v>
      </c>
      <c r="L704" s="2" t="s">
        <v>22</v>
      </c>
      <c r="M704">
        <v>1</v>
      </c>
      <c r="N704" s="2" t="s">
        <v>37</v>
      </c>
      <c r="O704">
        <v>1</v>
      </c>
    </row>
    <row r="705" spans="1:15" x14ac:dyDescent="0.35">
      <c r="A705" s="2" t="s">
        <v>183</v>
      </c>
      <c r="B705" s="2" t="s">
        <v>56</v>
      </c>
      <c r="C705" s="2" t="s">
        <v>50</v>
      </c>
      <c r="D705" s="2" t="s">
        <v>231</v>
      </c>
      <c r="E705">
        <v>2012</v>
      </c>
      <c r="F705" s="2" t="s">
        <v>4</v>
      </c>
      <c r="G705">
        <v>1</v>
      </c>
      <c r="H705" s="2" t="s">
        <v>7</v>
      </c>
      <c r="I705">
        <v>1</v>
      </c>
      <c r="J705" s="2" t="s">
        <v>16</v>
      </c>
      <c r="K705">
        <v>1</v>
      </c>
      <c r="L705" s="2" t="s">
        <v>22</v>
      </c>
      <c r="M705">
        <v>1</v>
      </c>
      <c r="N705" s="2" t="s">
        <v>38</v>
      </c>
      <c r="O705">
        <v>1</v>
      </c>
    </row>
    <row r="706" spans="1:15" x14ac:dyDescent="0.35">
      <c r="A706" s="2" t="s">
        <v>183</v>
      </c>
      <c r="B706" s="2" t="s">
        <v>56</v>
      </c>
      <c r="C706" s="2" t="s">
        <v>50</v>
      </c>
      <c r="D706" s="2" t="s">
        <v>231</v>
      </c>
      <c r="E706">
        <v>2012</v>
      </c>
      <c r="F706" s="2" t="s">
        <v>4</v>
      </c>
      <c r="G706">
        <v>1</v>
      </c>
      <c r="H706" s="2" t="s">
        <v>7</v>
      </c>
      <c r="I706">
        <v>1</v>
      </c>
      <c r="J706" s="2" t="s">
        <v>16</v>
      </c>
      <c r="K706">
        <v>1</v>
      </c>
      <c r="L706" s="2" t="s">
        <v>22</v>
      </c>
      <c r="M706">
        <v>1</v>
      </c>
      <c r="N706" s="2" t="s">
        <v>40</v>
      </c>
      <c r="O706">
        <v>1</v>
      </c>
    </row>
    <row r="707" spans="1:15" x14ac:dyDescent="0.35">
      <c r="A707" s="2" t="s">
        <v>183</v>
      </c>
      <c r="B707" s="2" t="s">
        <v>56</v>
      </c>
      <c r="C707" s="2" t="s">
        <v>50</v>
      </c>
      <c r="D707" s="2" t="s">
        <v>231</v>
      </c>
      <c r="E707">
        <v>2012</v>
      </c>
      <c r="F707" s="2" t="s">
        <v>4</v>
      </c>
      <c r="G707">
        <v>1</v>
      </c>
      <c r="H707" s="2" t="s">
        <v>7</v>
      </c>
      <c r="I707">
        <v>1</v>
      </c>
      <c r="J707" s="2" t="s">
        <v>16</v>
      </c>
      <c r="K707">
        <v>1</v>
      </c>
      <c r="L707" s="2" t="s">
        <v>22</v>
      </c>
      <c r="M707">
        <v>1</v>
      </c>
      <c r="N707" s="2" t="s">
        <v>46</v>
      </c>
      <c r="O707">
        <v>1</v>
      </c>
    </row>
    <row r="708" spans="1:15" x14ac:dyDescent="0.35">
      <c r="A708" s="2" t="s">
        <v>183</v>
      </c>
      <c r="B708" s="2" t="s">
        <v>56</v>
      </c>
      <c r="C708" s="2" t="s">
        <v>50</v>
      </c>
      <c r="D708" s="2" t="s">
        <v>231</v>
      </c>
      <c r="E708">
        <v>2012</v>
      </c>
      <c r="F708" s="2" t="s">
        <v>4</v>
      </c>
      <c r="G708">
        <v>1</v>
      </c>
      <c r="H708" s="2" t="s">
        <v>7</v>
      </c>
      <c r="I708">
        <v>1</v>
      </c>
      <c r="J708" s="2" t="s">
        <v>17</v>
      </c>
      <c r="K708">
        <v>1</v>
      </c>
      <c r="L708" s="2" t="s">
        <v>22</v>
      </c>
      <c r="M708">
        <v>1</v>
      </c>
      <c r="N708" s="2" t="s">
        <v>37</v>
      </c>
      <c r="O708">
        <v>1</v>
      </c>
    </row>
    <row r="709" spans="1:15" x14ac:dyDescent="0.35">
      <c r="A709" s="2" t="s">
        <v>183</v>
      </c>
      <c r="B709" s="2" t="s">
        <v>56</v>
      </c>
      <c r="C709" s="2" t="s">
        <v>50</v>
      </c>
      <c r="D709" s="2" t="s">
        <v>231</v>
      </c>
      <c r="E709">
        <v>2012</v>
      </c>
      <c r="F709" s="2" t="s">
        <v>4</v>
      </c>
      <c r="G709">
        <v>1</v>
      </c>
      <c r="H709" s="2" t="s">
        <v>7</v>
      </c>
      <c r="I709">
        <v>1</v>
      </c>
      <c r="J709" s="2" t="s">
        <v>17</v>
      </c>
      <c r="K709">
        <v>1</v>
      </c>
      <c r="L709" s="2" t="s">
        <v>22</v>
      </c>
      <c r="M709">
        <v>1</v>
      </c>
      <c r="N709" s="2" t="s">
        <v>38</v>
      </c>
      <c r="O709">
        <v>1</v>
      </c>
    </row>
    <row r="710" spans="1:15" x14ac:dyDescent="0.35">
      <c r="A710" s="2" t="s">
        <v>183</v>
      </c>
      <c r="B710" s="2" t="s">
        <v>56</v>
      </c>
      <c r="C710" s="2" t="s">
        <v>50</v>
      </c>
      <c r="D710" s="2" t="s">
        <v>231</v>
      </c>
      <c r="E710">
        <v>2012</v>
      </c>
      <c r="F710" s="2" t="s">
        <v>4</v>
      </c>
      <c r="G710">
        <v>1</v>
      </c>
      <c r="H710" s="2" t="s">
        <v>7</v>
      </c>
      <c r="I710">
        <v>1</v>
      </c>
      <c r="J710" s="2" t="s">
        <v>17</v>
      </c>
      <c r="K710">
        <v>1</v>
      </c>
      <c r="L710" s="2" t="s">
        <v>22</v>
      </c>
      <c r="M710">
        <v>1</v>
      </c>
      <c r="N710" s="2" t="s">
        <v>40</v>
      </c>
      <c r="O710">
        <v>1</v>
      </c>
    </row>
    <row r="711" spans="1:15" x14ac:dyDescent="0.35">
      <c r="A711" s="2" t="s">
        <v>183</v>
      </c>
      <c r="B711" s="2" t="s">
        <v>56</v>
      </c>
      <c r="C711" s="2" t="s">
        <v>50</v>
      </c>
      <c r="D711" s="2" t="s">
        <v>231</v>
      </c>
      <c r="E711">
        <v>2012</v>
      </c>
      <c r="F711" s="2" t="s">
        <v>4</v>
      </c>
      <c r="G711">
        <v>1</v>
      </c>
      <c r="H711" s="2" t="s">
        <v>7</v>
      </c>
      <c r="I711">
        <v>1</v>
      </c>
      <c r="J711" s="2" t="s">
        <v>17</v>
      </c>
      <c r="K711">
        <v>1</v>
      </c>
      <c r="L711" s="2" t="s">
        <v>22</v>
      </c>
      <c r="M711">
        <v>1</v>
      </c>
      <c r="N711" s="2" t="s">
        <v>46</v>
      </c>
      <c r="O711">
        <v>1</v>
      </c>
    </row>
    <row r="712" spans="1:15" x14ac:dyDescent="0.35">
      <c r="A712" s="2" t="s">
        <v>187</v>
      </c>
      <c r="B712" s="2" t="s">
        <v>56</v>
      </c>
      <c r="C712" s="2" t="s">
        <v>50</v>
      </c>
      <c r="D712" s="2" t="s">
        <v>231</v>
      </c>
      <c r="E712">
        <v>2017</v>
      </c>
      <c r="F712" s="2" t="s">
        <v>2</v>
      </c>
      <c r="G712">
        <v>1</v>
      </c>
      <c r="H712" s="2" t="s">
        <v>7</v>
      </c>
      <c r="I712">
        <v>1</v>
      </c>
      <c r="J712" s="2" t="s">
        <v>16</v>
      </c>
      <c r="K712">
        <v>1</v>
      </c>
      <c r="L712" s="2" t="s">
        <v>22</v>
      </c>
      <c r="M712">
        <v>1</v>
      </c>
      <c r="N712" s="2" t="s">
        <v>37</v>
      </c>
      <c r="O712">
        <v>1</v>
      </c>
    </row>
    <row r="713" spans="1:15" x14ac:dyDescent="0.35">
      <c r="A713" s="2" t="s">
        <v>187</v>
      </c>
      <c r="B713" s="2" t="s">
        <v>56</v>
      </c>
      <c r="C713" s="2" t="s">
        <v>50</v>
      </c>
      <c r="D713" s="2" t="s">
        <v>231</v>
      </c>
      <c r="E713">
        <v>2017</v>
      </c>
      <c r="F713" s="2" t="s">
        <v>2</v>
      </c>
      <c r="G713">
        <v>1</v>
      </c>
      <c r="H713" s="2" t="s">
        <v>7</v>
      </c>
      <c r="I713">
        <v>1</v>
      </c>
      <c r="J713" s="2" t="s">
        <v>16</v>
      </c>
      <c r="K713">
        <v>1</v>
      </c>
      <c r="L713" s="2" t="s">
        <v>22</v>
      </c>
      <c r="M713">
        <v>1</v>
      </c>
      <c r="N713" s="2" t="s">
        <v>38</v>
      </c>
      <c r="O713">
        <v>1</v>
      </c>
    </row>
    <row r="714" spans="1:15" x14ac:dyDescent="0.35">
      <c r="A714" s="2" t="s">
        <v>187</v>
      </c>
      <c r="B714" s="2" t="s">
        <v>56</v>
      </c>
      <c r="C714" s="2" t="s">
        <v>50</v>
      </c>
      <c r="D714" s="2" t="s">
        <v>231</v>
      </c>
      <c r="E714">
        <v>2017</v>
      </c>
      <c r="F714" s="2" t="s">
        <v>2</v>
      </c>
      <c r="G714">
        <v>1</v>
      </c>
      <c r="H714" s="2" t="s">
        <v>7</v>
      </c>
      <c r="I714">
        <v>1</v>
      </c>
      <c r="J714" s="2" t="s">
        <v>16</v>
      </c>
      <c r="K714">
        <v>1</v>
      </c>
      <c r="L714" s="2" t="s">
        <v>22</v>
      </c>
      <c r="M714">
        <v>1</v>
      </c>
      <c r="N714" s="2" t="s">
        <v>39</v>
      </c>
      <c r="O714">
        <v>1</v>
      </c>
    </row>
    <row r="715" spans="1:15" x14ac:dyDescent="0.35">
      <c r="A715" s="2" t="s">
        <v>187</v>
      </c>
      <c r="B715" s="2" t="s">
        <v>56</v>
      </c>
      <c r="C715" s="2" t="s">
        <v>50</v>
      </c>
      <c r="D715" s="2" t="s">
        <v>231</v>
      </c>
      <c r="E715">
        <v>2017</v>
      </c>
      <c r="F715" s="2" t="s">
        <v>2</v>
      </c>
      <c r="G715">
        <v>1</v>
      </c>
      <c r="H715" s="2" t="s">
        <v>7</v>
      </c>
      <c r="I715">
        <v>1</v>
      </c>
      <c r="J715" s="2" t="s">
        <v>16</v>
      </c>
      <c r="K715">
        <v>1</v>
      </c>
      <c r="L715" s="2" t="s">
        <v>22</v>
      </c>
      <c r="M715">
        <v>1</v>
      </c>
      <c r="N715" s="2" t="s">
        <v>40</v>
      </c>
      <c r="O715">
        <v>1</v>
      </c>
    </row>
    <row r="716" spans="1:15" x14ac:dyDescent="0.35">
      <c r="A716" s="2" t="s">
        <v>187</v>
      </c>
      <c r="B716" s="2" t="s">
        <v>56</v>
      </c>
      <c r="C716" s="2" t="s">
        <v>50</v>
      </c>
      <c r="D716" s="2" t="s">
        <v>231</v>
      </c>
      <c r="E716">
        <v>2017</v>
      </c>
      <c r="F716" s="2" t="s">
        <v>2</v>
      </c>
      <c r="G716">
        <v>1</v>
      </c>
      <c r="H716" s="2" t="s">
        <v>7</v>
      </c>
      <c r="I716">
        <v>1</v>
      </c>
      <c r="J716" s="2" t="s">
        <v>17</v>
      </c>
      <c r="K716">
        <v>1</v>
      </c>
      <c r="L716" s="2" t="s">
        <v>22</v>
      </c>
      <c r="M716">
        <v>1</v>
      </c>
      <c r="N716" s="2" t="s">
        <v>37</v>
      </c>
      <c r="O716">
        <v>1</v>
      </c>
    </row>
    <row r="717" spans="1:15" x14ac:dyDescent="0.35">
      <c r="A717" s="2" t="s">
        <v>187</v>
      </c>
      <c r="B717" s="2" t="s">
        <v>56</v>
      </c>
      <c r="C717" s="2" t="s">
        <v>50</v>
      </c>
      <c r="D717" s="2" t="s">
        <v>231</v>
      </c>
      <c r="E717">
        <v>2017</v>
      </c>
      <c r="F717" s="2" t="s">
        <v>2</v>
      </c>
      <c r="G717">
        <v>1</v>
      </c>
      <c r="H717" s="2" t="s">
        <v>7</v>
      </c>
      <c r="I717">
        <v>1</v>
      </c>
      <c r="J717" s="2" t="s">
        <v>17</v>
      </c>
      <c r="K717">
        <v>1</v>
      </c>
      <c r="L717" s="2" t="s">
        <v>22</v>
      </c>
      <c r="M717">
        <v>1</v>
      </c>
      <c r="N717" s="2" t="s">
        <v>38</v>
      </c>
      <c r="O717">
        <v>1</v>
      </c>
    </row>
    <row r="718" spans="1:15" x14ac:dyDescent="0.35">
      <c r="A718" s="2" t="s">
        <v>187</v>
      </c>
      <c r="B718" s="2" t="s">
        <v>56</v>
      </c>
      <c r="C718" s="2" t="s">
        <v>50</v>
      </c>
      <c r="D718" s="2" t="s">
        <v>231</v>
      </c>
      <c r="E718">
        <v>2017</v>
      </c>
      <c r="F718" s="2" t="s">
        <v>2</v>
      </c>
      <c r="G718">
        <v>1</v>
      </c>
      <c r="H718" s="2" t="s">
        <v>7</v>
      </c>
      <c r="I718">
        <v>1</v>
      </c>
      <c r="J718" s="2" t="s">
        <v>17</v>
      </c>
      <c r="K718">
        <v>1</v>
      </c>
      <c r="L718" s="2" t="s">
        <v>22</v>
      </c>
      <c r="M718">
        <v>1</v>
      </c>
      <c r="N718" s="2" t="s">
        <v>39</v>
      </c>
      <c r="O718">
        <v>1</v>
      </c>
    </row>
    <row r="719" spans="1:15" x14ac:dyDescent="0.35">
      <c r="A719" s="2" t="s">
        <v>187</v>
      </c>
      <c r="B719" s="2" t="s">
        <v>56</v>
      </c>
      <c r="C719" s="2" t="s">
        <v>50</v>
      </c>
      <c r="D719" s="2" t="s">
        <v>231</v>
      </c>
      <c r="E719">
        <v>2017</v>
      </c>
      <c r="F719" s="2" t="s">
        <v>2</v>
      </c>
      <c r="G719">
        <v>1</v>
      </c>
      <c r="H719" s="2" t="s">
        <v>7</v>
      </c>
      <c r="I719">
        <v>1</v>
      </c>
      <c r="J719" s="2" t="s">
        <v>17</v>
      </c>
      <c r="K719">
        <v>1</v>
      </c>
      <c r="L719" s="2" t="s">
        <v>22</v>
      </c>
      <c r="M719">
        <v>1</v>
      </c>
      <c r="N719" s="2" t="s">
        <v>40</v>
      </c>
      <c r="O719">
        <v>1</v>
      </c>
    </row>
    <row r="720" spans="1:15" x14ac:dyDescent="0.35">
      <c r="A720" s="2" t="s">
        <v>91</v>
      </c>
      <c r="B720" s="2" t="s">
        <v>56</v>
      </c>
      <c r="C720" s="2" t="s">
        <v>50</v>
      </c>
      <c r="D720" s="2" t="s">
        <v>231</v>
      </c>
      <c r="E720">
        <v>2021</v>
      </c>
      <c r="F720" s="2" t="s">
        <v>2</v>
      </c>
      <c r="G720">
        <v>1</v>
      </c>
      <c r="H720" s="2" t="s">
        <v>9</v>
      </c>
      <c r="I720">
        <v>1</v>
      </c>
      <c r="J720" s="2" t="s">
        <v>14</v>
      </c>
      <c r="K720">
        <v>1</v>
      </c>
      <c r="L720" s="2" t="s">
        <v>24</v>
      </c>
      <c r="M720">
        <v>1</v>
      </c>
      <c r="N720" s="2" t="s">
        <v>33</v>
      </c>
      <c r="O720">
        <v>1</v>
      </c>
    </row>
    <row r="721" spans="1:15" x14ac:dyDescent="0.35">
      <c r="A721" s="2" t="s">
        <v>91</v>
      </c>
      <c r="B721" s="2" t="s">
        <v>56</v>
      </c>
      <c r="C721" s="2" t="s">
        <v>50</v>
      </c>
      <c r="D721" s="2" t="s">
        <v>231</v>
      </c>
      <c r="E721">
        <v>2021</v>
      </c>
      <c r="F721" s="2" t="s">
        <v>2</v>
      </c>
      <c r="G721">
        <v>1</v>
      </c>
      <c r="H721" s="2" t="s">
        <v>9</v>
      </c>
      <c r="I721">
        <v>1</v>
      </c>
      <c r="J721" s="2" t="s">
        <v>14</v>
      </c>
      <c r="K721">
        <v>1</v>
      </c>
      <c r="L721" s="2" t="s">
        <v>24</v>
      </c>
      <c r="M721">
        <v>1</v>
      </c>
      <c r="N721" s="2" t="s">
        <v>37</v>
      </c>
      <c r="O721">
        <v>1</v>
      </c>
    </row>
    <row r="722" spans="1:15" x14ac:dyDescent="0.35">
      <c r="A722" s="2" t="s">
        <v>91</v>
      </c>
      <c r="B722" s="2" t="s">
        <v>56</v>
      </c>
      <c r="C722" s="2" t="s">
        <v>50</v>
      </c>
      <c r="D722" s="2" t="s">
        <v>231</v>
      </c>
      <c r="E722">
        <v>2021</v>
      </c>
      <c r="F722" s="2" t="s">
        <v>2</v>
      </c>
      <c r="G722">
        <v>1</v>
      </c>
      <c r="H722" s="2" t="s">
        <v>9</v>
      </c>
      <c r="I722">
        <v>1</v>
      </c>
      <c r="J722" s="2" t="s">
        <v>14</v>
      </c>
      <c r="K722">
        <v>1</v>
      </c>
      <c r="L722" s="2" t="s">
        <v>24</v>
      </c>
      <c r="M722">
        <v>1</v>
      </c>
      <c r="N722" s="2" t="s">
        <v>40</v>
      </c>
      <c r="O722">
        <v>1</v>
      </c>
    </row>
    <row r="723" spans="1:15" x14ac:dyDescent="0.35">
      <c r="A723" s="2" t="s">
        <v>91</v>
      </c>
      <c r="B723" s="2" t="s">
        <v>56</v>
      </c>
      <c r="C723" s="2" t="s">
        <v>50</v>
      </c>
      <c r="D723" s="2" t="s">
        <v>231</v>
      </c>
      <c r="E723">
        <v>2021</v>
      </c>
      <c r="F723" s="2" t="s">
        <v>2</v>
      </c>
      <c r="G723">
        <v>1</v>
      </c>
      <c r="H723" s="2" t="s">
        <v>9</v>
      </c>
      <c r="I723">
        <v>1</v>
      </c>
      <c r="J723" s="2" t="s">
        <v>14</v>
      </c>
      <c r="K723">
        <v>1</v>
      </c>
      <c r="L723" s="2" t="s">
        <v>24</v>
      </c>
      <c r="M723">
        <v>1</v>
      </c>
      <c r="N723" s="2" t="s">
        <v>46</v>
      </c>
      <c r="O723">
        <v>1</v>
      </c>
    </row>
    <row r="724" spans="1:15" x14ac:dyDescent="0.35">
      <c r="A724" s="2" t="s">
        <v>91</v>
      </c>
      <c r="B724" s="2" t="s">
        <v>56</v>
      </c>
      <c r="C724" s="2" t="s">
        <v>50</v>
      </c>
      <c r="D724" s="2" t="s">
        <v>231</v>
      </c>
      <c r="E724">
        <v>2021</v>
      </c>
      <c r="F724" s="2" t="s">
        <v>2</v>
      </c>
      <c r="G724">
        <v>1</v>
      </c>
      <c r="H724" s="2" t="s">
        <v>9</v>
      </c>
      <c r="I724">
        <v>1</v>
      </c>
      <c r="J724" s="2" t="s">
        <v>15</v>
      </c>
      <c r="K724">
        <v>1</v>
      </c>
      <c r="L724" s="2" t="s">
        <v>24</v>
      </c>
      <c r="M724">
        <v>1</v>
      </c>
      <c r="N724" s="2" t="s">
        <v>33</v>
      </c>
      <c r="O724">
        <v>1</v>
      </c>
    </row>
    <row r="725" spans="1:15" x14ac:dyDescent="0.35">
      <c r="A725" s="2" t="s">
        <v>91</v>
      </c>
      <c r="B725" s="2" t="s">
        <v>56</v>
      </c>
      <c r="C725" s="2" t="s">
        <v>50</v>
      </c>
      <c r="D725" s="2" t="s">
        <v>231</v>
      </c>
      <c r="E725">
        <v>2021</v>
      </c>
      <c r="F725" s="2" t="s">
        <v>2</v>
      </c>
      <c r="G725">
        <v>1</v>
      </c>
      <c r="H725" s="2" t="s">
        <v>9</v>
      </c>
      <c r="I725">
        <v>1</v>
      </c>
      <c r="J725" s="2" t="s">
        <v>15</v>
      </c>
      <c r="K725">
        <v>1</v>
      </c>
      <c r="L725" s="2" t="s">
        <v>24</v>
      </c>
      <c r="M725">
        <v>1</v>
      </c>
      <c r="N725" s="2" t="s">
        <v>37</v>
      </c>
      <c r="O725">
        <v>1</v>
      </c>
    </row>
    <row r="726" spans="1:15" x14ac:dyDescent="0.35">
      <c r="A726" s="2" t="s">
        <v>91</v>
      </c>
      <c r="B726" s="2" t="s">
        <v>56</v>
      </c>
      <c r="C726" s="2" t="s">
        <v>50</v>
      </c>
      <c r="D726" s="2" t="s">
        <v>231</v>
      </c>
      <c r="E726">
        <v>2021</v>
      </c>
      <c r="F726" s="2" t="s">
        <v>2</v>
      </c>
      <c r="G726">
        <v>1</v>
      </c>
      <c r="H726" s="2" t="s">
        <v>9</v>
      </c>
      <c r="I726">
        <v>1</v>
      </c>
      <c r="J726" s="2" t="s">
        <v>15</v>
      </c>
      <c r="K726">
        <v>1</v>
      </c>
      <c r="L726" s="2" t="s">
        <v>24</v>
      </c>
      <c r="M726">
        <v>1</v>
      </c>
      <c r="N726" s="2" t="s">
        <v>40</v>
      </c>
      <c r="O726">
        <v>1</v>
      </c>
    </row>
    <row r="727" spans="1:15" x14ac:dyDescent="0.35">
      <c r="A727" s="2" t="s">
        <v>91</v>
      </c>
      <c r="B727" s="2" t="s">
        <v>56</v>
      </c>
      <c r="C727" s="2" t="s">
        <v>50</v>
      </c>
      <c r="D727" s="2" t="s">
        <v>231</v>
      </c>
      <c r="E727">
        <v>2021</v>
      </c>
      <c r="F727" s="2" t="s">
        <v>2</v>
      </c>
      <c r="G727">
        <v>1</v>
      </c>
      <c r="H727" s="2" t="s">
        <v>9</v>
      </c>
      <c r="I727">
        <v>1</v>
      </c>
      <c r="J727" s="2" t="s">
        <v>15</v>
      </c>
      <c r="K727">
        <v>1</v>
      </c>
      <c r="L727" s="2" t="s">
        <v>24</v>
      </c>
      <c r="M727">
        <v>1</v>
      </c>
      <c r="N727" s="2" t="s">
        <v>46</v>
      </c>
      <c r="O727">
        <v>1</v>
      </c>
    </row>
    <row r="728" spans="1:15" x14ac:dyDescent="0.35">
      <c r="A728" s="2" t="s">
        <v>96</v>
      </c>
      <c r="B728" s="2" t="s">
        <v>56</v>
      </c>
      <c r="C728" s="2" t="s">
        <v>50</v>
      </c>
      <c r="D728" s="2" t="s">
        <v>231</v>
      </c>
      <c r="E728">
        <v>2019</v>
      </c>
      <c r="F728" s="2" t="s">
        <v>2</v>
      </c>
      <c r="G728">
        <v>1</v>
      </c>
      <c r="H728" s="2" t="s">
        <v>13</v>
      </c>
      <c r="I728">
        <v>1</v>
      </c>
      <c r="J728" s="2" t="s">
        <v>16</v>
      </c>
      <c r="K728">
        <v>1</v>
      </c>
      <c r="L728" s="2" t="s">
        <v>24</v>
      </c>
      <c r="M728">
        <v>1</v>
      </c>
      <c r="N728" s="2" t="s">
        <v>37</v>
      </c>
      <c r="O728">
        <v>1</v>
      </c>
    </row>
    <row r="729" spans="1:15" x14ac:dyDescent="0.35">
      <c r="A729" s="2" t="s">
        <v>96</v>
      </c>
      <c r="B729" s="2" t="s">
        <v>56</v>
      </c>
      <c r="C729" s="2" t="s">
        <v>50</v>
      </c>
      <c r="D729" s="2" t="s">
        <v>231</v>
      </c>
      <c r="E729">
        <v>2019</v>
      </c>
      <c r="F729" s="2" t="s">
        <v>2</v>
      </c>
      <c r="G729">
        <v>1</v>
      </c>
      <c r="H729" s="2" t="s">
        <v>13</v>
      </c>
      <c r="I729">
        <v>1</v>
      </c>
      <c r="J729" s="2" t="s">
        <v>16</v>
      </c>
      <c r="K729">
        <v>1</v>
      </c>
      <c r="L729" s="2" t="s">
        <v>24</v>
      </c>
      <c r="M729">
        <v>1</v>
      </c>
      <c r="N729" s="2" t="s">
        <v>38</v>
      </c>
      <c r="O729">
        <v>1</v>
      </c>
    </row>
    <row r="730" spans="1:15" x14ac:dyDescent="0.35">
      <c r="A730" s="2" t="s">
        <v>96</v>
      </c>
      <c r="B730" s="2" t="s">
        <v>56</v>
      </c>
      <c r="C730" s="2" t="s">
        <v>50</v>
      </c>
      <c r="D730" s="2" t="s">
        <v>231</v>
      </c>
      <c r="E730">
        <v>2019</v>
      </c>
      <c r="F730" s="2" t="s">
        <v>2</v>
      </c>
      <c r="G730">
        <v>1</v>
      </c>
      <c r="H730" s="2" t="s">
        <v>13</v>
      </c>
      <c r="I730">
        <v>1</v>
      </c>
      <c r="J730" s="2" t="s">
        <v>16</v>
      </c>
      <c r="K730">
        <v>1</v>
      </c>
      <c r="L730" s="2" t="s">
        <v>24</v>
      </c>
      <c r="M730">
        <v>1</v>
      </c>
      <c r="N730" s="2" t="s">
        <v>39</v>
      </c>
      <c r="O730">
        <v>1</v>
      </c>
    </row>
    <row r="731" spans="1:15" x14ac:dyDescent="0.35">
      <c r="A731" s="2" t="s">
        <v>96</v>
      </c>
      <c r="B731" s="2" t="s">
        <v>56</v>
      </c>
      <c r="C731" s="2" t="s">
        <v>50</v>
      </c>
      <c r="D731" s="2" t="s">
        <v>231</v>
      </c>
      <c r="E731">
        <v>2019</v>
      </c>
      <c r="F731" s="2" t="s">
        <v>2</v>
      </c>
      <c r="G731">
        <v>1</v>
      </c>
      <c r="H731" s="2" t="s">
        <v>13</v>
      </c>
      <c r="I731">
        <v>1</v>
      </c>
      <c r="J731" s="2" t="s">
        <v>16</v>
      </c>
      <c r="K731">
        <v>1</v>
      </c>
      <c r="L731" s="2" t="s">
        <v>24</v>
      </c>
      <c r="M731">
        <v>1</v>
      </c>
      <c r="N731" s="2" t="s">
        <v>46</v>
      </c>
      <c r="O731">
        <v>1</v>
      </c>
    </row>
    <row r="732" spans="1:15" x14ac:dyDescent="0.35">
      <c r="A732" s="2" t="s">
        <v>123</v>
      </c>
      <c r="B732" s="2" t="s">
        <v>66</v>
      </c>
      <c r="C732" s="2" t="s">
        <v>50</v>
      </c>
      <c r="D732" s="2" t="s">
        <v>231</v>
      </c>
      <c r="E732">
        <v>2021</v>
      </c>
      <c r="F732" s="2" t="s">
        <v>2</v>
      </c>
      <c r="G732">
        <v>1</v>
      </c>
      <c r="H732" s="2" t="s">
        <v>13</v>
      </c>
      <c r="I732">
        <v>1</v>
      </c>
      <c r="J732" s="2" t="s">
        <v>14</v>
      </c>
      <c r="K732">
        <v>1</v>
      </c>
      <c r="L732" s="2" t="s">
        <v>24</v>
      </c>
      <c r="M732">
        <v>1</v>
      </c>
      <c r="N732" s="2" t="s">
        <v>37</v>
      </c>
      <c r="O732">
        <v>1</v>
      </c>
    </row>
    <row r="733" spans="1:15" x14ac:dyDescent="0.35">
      <c r="A733" s="2" t="s">
        <v>123</v>
      </c>
      <c r="B733" s="2" t="s">
        <v>66</v>
      </c>
      <c r="C733" s="2" t="s">
        <v>50</v>
      </c>
      <c r="D733" s="2" t="s">
        <v>231</v>
      </c>
      <c r="E733">
        <v>2021</v>
      </c>
      <c r="F733" s="2" t="s">
        <v>2</v>
      </c>
      <c r="G733">
        <v>1</v>
      </c>
      <c r="H733" s="2" t="s">
        <v>13</v>
      </c>
      <c r="I733">
        <v>1</v>
      </c>
      <c r="J733" s="2" t="s">
        <v>14</v>
      </c>
      <c r="K733">
        <v>1</v>
      </c>
      <c r="L733" s="2" t="s">
        <v>24</v>
      </c>
      <c r="M733">
        <v>1</v>
      </c>
      <c r="N733" s="2" t="s">
        <v>44</v>
      </c>
      <c r="O733">
        <v>1</v>
      </c>
    </row>
    <row r="734" spans="1:15" x14ac:dyDescent="0.35">
      <c r="A734" s="2" t="s">
        <v>123</v>
      </c>
      <c r="B734" s="2" t="s">
        <v>66</v>
      </c>
      <c r="C734" s="2" t="s">
        <v>50</v>
      </c>
      <c r="D734" s="2" t="s">
        <v>231</v>
      </c>
      <c r="E734">
        <v>2021</v>
      </c>
      <c r="F734" s="2" t="s">
        <v>2</v>
      </c>
      <c r="G734">
        <v>1</v>
      </c>
      <c r="H734" s="2" t="s">
        <v>13</v>
      </c>
      <c r="I734">
        <v>1</v>
      </c>
      <c r="J734" s="2" t="s">
        <v>15</v>
      </c>
      <c r="K734">
        <v>1</v>
      </c>
      <c r="L734" s="2" t="s">
        <v>24</v>
      </c>
      <c r="M734">
        <v>1</v>
      </c>
      <c r="N734" s="2" t="s">
        <v>37</v>
      </c>
      <c r="O734">
        <v>1</v>
      </c>
    </row>
    <row r="735" spans="1:15" x14ac:dyDescent="0.35">
      <c r="A735" s="2" t="s">
        <v>123</v>
      </c>
      <c r="B735" s="2" t="s">
        <v>66</v>
      </c>
      <c r="C735" s="2" t="s">
        <v>50</v>
      </c>
      <c r="D735" s="2" t="s">
        <v>231</v>
      </c>
      <c r="E735">
        <v>2021</v>
      </c>
      <c r="F735" s="2" t="s">
        <v>2</v>
      </c>
      <c r="G735">
        <v>1</v>
      </c>
      <c r="H735" s="2" t="s">
        <v>13</v>
      </c>
      <c r="I735">
        <v>1</v>
      </c>
      <c r="J735" s="2" t="s">
        <v>15</v>
      </c>
      <c r="K735">
        <v>1</v>
      </c>
      <c r="L735" s="2" t="s">
        <v>24</v>
      </c>
      <c r="M735">
        <v>1</v>
      </c>
      <c r="N735" s="2" t="s">
        <v>44</v>
      </c>
      <c r="O735">
        <v>1</v>
      </c>
    </row>
    <row r="736" spans="1:15" x14ac:dyDescent="0.35">
      <c r="A736" s="2" t="s">
        <v>155</v>
      </c>
      <c r="B736" s="2" t="s">
        <v>56</v>
      </c>
      <c r="C736" s="2" t="s">
        <v>50</v>
      </c>
      <c r="D736" s="2" t="s">
        <v>231</v>
      </c>
      <c r="E736">
        <v>2012</v>
      </c>
      <c r="F736" s="2" t="s">
        <v>2</v>
      </c>
      <c r="G736">
        <v>1</v>
      </c>
      <c r="H736" s="2" t="s">
        <v>9</v>
      </c>
      <c r="I736">
        <v>1</v>
      </c>
      <c r="J736" s="2" t="s">
        <v>16</v>
      </c>
      <c r="K736">
        <v>1</v>
      </c>
      <c r="L736" s="2" t="s">
        <v>24</v>
      </c>
      <c r="M736">
        <v>1</v>
      </c>
      <c r="N736" s="2" t="s">
        <v>41</v>
      </c>
      <c r="O736">
        <v>1</v>
      </c>
    </row>
    <row r="737" spans="1:15" x14ac:dyDescent="0.35">
      <c r="A737" s="2" t="s">
        <v>155</v>
      </c>
      <c r="B737" s="2" t="s">
        <v>56</v>
      </c>
      <c r="C737" s="2" t="s">
        <v>50</v>
      </c>
      <c r="D737" s="2" t="s">
        <v>231</v>
      </c>
      <c r="E737">
        <v>2012</v>
      </c>
      <c r="F737" s="2" t="s">
        <v>2</v>
      </c>
      <c r="G737">
        <v>1</v>
      </c>
      <c r="H737" s="2" t="s">
        <v>9</v>
      </c>
      <c r="I737">
        <v>1</v>
      </c>
      <c r="J737" s="2" t="s">
        <v>16</v>
      </c>
      <c r="K737">
        <v>1</v>
      </c>
      <c r="L737" s="2" t="s">
        <v>24</v>
      </c>
      <c r="M737">
        <v>1</v>
      </c>
      <c r="N737" s="2" t="s">
        <v>44</v>
      </c>
      <c r="O737">
        <v>1</v>
      </c>
    </row>
    <row r="738" spans="1:15" x14ac:dyDescent="0.35">
      <c r="A738" s="2" t="s">
        <v>155</v>
      </c>
      <c r="B738" s="2" t="s">
        <v>56</v>
      </c>
      <c r="C738" s="2" t="s">
        <v>50</v>
      </c>
      <c r="D738" s="2" t="s">
        <v>231</v>
      </c>
      <c r="E738">
        <v>2012</v>
      </c>
      <c r="F738" s="2" t="s">
        <v>2</v>
      </c>
      <c r="G738">
        <v>1</v>
      </c>
      <c r="H738" s="2" t="s">
        <v>9</v>
      </c>
      <c r="I738">
        <v>1</v>
      </c>
      <c r="J738" s="2" t="s">
        <v>17</v>
      </c>
      <c r="K738">
        <v>1</v>
      </c>
      <c r="L738" s="2" t="s">
        <v>24</v>
      </c>
      <c r="M738">
        <v>1</v>
      </c>
      <c r="N738" s="2" t="s">
        <v>41</v>
      </c>
      <c r="O738">
        <v>1</v>
      </c>
    </row>
    <row r="739" spans="1:15" x14ac:dyDescent="0.35">
      <c r="A739" s="2" t="s">
        <v>155</v>
      </c>
      <c r="B739" s="2" t="s">
        <v>56</v>
      </c>
      <c r="C739" s="2" t="s">
        <v>50</v>
      </c>
      <c r="D739" s="2" t="s">
        <v>231</v>
      </c>
      <c r="E739">
        <v>2012</v>
      </c>
      <c r="F739" s="2" t="s">
        <v>2</v>
      </c>
      <c r="G739">
        <v>1</v>
      </c>
      <c r="H739" s="2" t="s">
        <v>9</v>
      </c>
      <c r="I739">
        <v>1</v>
      </c>
      <c r="J739" s="2" t="s">
        <v>17</v>
      </c>
      <c r="K739">
        <v>1</v>
      </c>
      <c r="L739" s="2" t="s">
        <v>24</v>
      </c>
      <c r="M739">
        <v>1</v>
      </c>
      <c r="N739" s="2" t="s">
        <v>44</v>
      </c>
      <c r="O739">
        <v>1</v>
      </c>
    </row>
    <row r="740" spans="1:15" x14ac:dyDescent="0.35">
      <c r="A740" s="2" t="s">
        <v>187</v>
      </c>
      <c r="B740" s="2" t="s">
        <v>56</v>
      </c>
      <c r="C740" s="2" t="s">
        <v>50</v>
      </c>
      <c r="D740" s="2" t="s">
        <v>231</v>
      </c>
      <c r="E740">
        <v>2017</v>
      </c>
      <c r="F740" s="2" t="s">
        <v>2</v>
      </c>
      <c r="G740">
        <v>1</v>
      </c>
      <c r="H740" s="2" t="s">
        <v>7</v>
      </c>
      <c r="I740">
        <v>1</v>
      </c>
      <c r="J740" s="2" t="s">
        <v>16</v>
      </c>
      <c r="K740">
        <v>1</v>
      </c>
      <c r="L740" s="2" t="s">
        <v>24</v>
      </c>
      <c r="M740">
        <v>1</v>
      </c>
      <c r="N740" s="2" t="s">
        <v>37</v>
      </c>
      <c r="O740">
        <v>1</v>
      </c>
    </row>
    <row r="741" spans="1:15" x14ac:dyDescent="0.35">
      <c r="A741" s="2" t="s">
        <v>187</v>
      </c>
      <c r="B741" s="2" t="s">
        <v>56</v>
      </c>
      <c r="C741" s="2" t="s">
        <v>50</v>
      </c>
      <c r="D741" s="2" t="s">
        <v>231</v>
      </c>
      <c r="E741">
        <v>2017</v>
      </c>
      <c r="F741" s="2" t="s">
        <v>2</v>
      </c>
      <c r="G741">
        <v>1</v>
      </c>
      <c r="H741" s="2" t="s">
        <v>7</v>
      </c>
      <c r="I741">
        <v>1</v>
      </c>
      <c r="J741" s="2" t="s">
        <v>16</v>
      </c>
      <c r="K741">
        <v>1</v>
      </c>
      <c r="L741" s="2" t="s">
        <v>24</v>
      </c>
      <c r="M741">
        <v>1</v>
      </c>
      <c r="N741" s="2" t="s">
        <v>38</v>
      </c>
      <c r="O741">
        <v>1</v>
      </c>
    </row>
    <row r="742" spans="1:15" x14ac:dyDescent="0.35">
      <c r="A742" s="2" t="s">
        <v>187</v>
      </c>
      <c r="B742" s="2" t="s">
        <v>56</v>
      </c>
      <c r="C742" s="2" t="s">
        <v>50</v>
      </c>
      <c r="D742" s="2" t="s">
        <v>231</v>
      </c>
      <c r="E742">
        <v>2017</v>
      </c>
      <c r="F742" s="2" t="s">
        <v>2</v>
      </c>
      <c r="G742">
        <v>1</v>
      </c>
      <c r="H742" s="2" t="s">
        <v>7</v>
      </c>
      <c r="I742">
        <v>1</v>
      </c>
      <c r="J742" s="2" t="s">
        <v>16</v>
      </c>
      <c r="K742">
        <v>1</v>
      </c>
      <c r="L742" s="2" t="s">
        <v>24</v>
      </c>
      <c r="M742">
        <v>1</v>
      </c>
      <c r="N742" s="2" t="s">
        <v>39</v>
      </c>
      <c r="O742">
        <v>1</v>
      </c>
    </row>
    <row r="743" spans="1:15" x14ac:dyDescent="0.35">
      <c r="A743" s="2" t="s">
        <v>187</v>
      </c>
      <c r="B743" s="2" t="s">
        <v>56</v>
      </c>
      <c r="C743" s="2" t="s">
        <v>50</v>
      </c>
      <c r="D743" s="2" t="s">
        <v>231</v>
      </c>
      <c r="E743">
        <v>2017</v>
      </c>
      <c r="F743" s="2" t="s">
        <v>2</v>
      </c>
      <c r="G743">
        <v>1</v>
      </c>
      <c r="H743" s="2" t="s">
        <v>7</v>
      </c>
      <c r="I743">
        <v>1</v>
      </c>
      <c r="J743" s="2" t="s">
        <v>16</v>
      </c>
      <c r="K743">
        <v>1</v>
      </c>
      <c r="L743" s="2" t="s">
        <v>24</v>
      </c>
      <c r="M743">
        <v>1</v>
      </c>
      <c r="N743" s="2" t="s">
        <v>40</v>
      </c>
      <c r="O743">
        <v>1</v>
      </c>
    </row>
    <row r="744" spans="1:15" x14ac:dyDescent="0.35">
      <c r="A744" s="2" t="s">
        <v>187</v>
      </c>
      <c r="B744" s="2" t="s">
        <v>56</v>
      </c>
      <c r="C744" s="2" t="s">
        <v>50</v>
      </c>
      <c r="D744" s="2" t="s">
        <v>231</v>
      </c>
      <c r="E744">
        <v>2017</v>
      </c>
      <c r="F744" s="2" t="s">
        <v>2</v>
      </c>
      <c r="G744">
        <v>1</v>
      </c>
      <c r="H744" s="2" t="s">
        <v>7</v>
      </c>
      <c r="I744">
        <v>1</v>
      </c>
      <c r="J744" s="2" t="s">
        <v>17</v>
      </c>
      <c r="K744">
        <v>1</v>
      </c>
      <c r="L744" s="2" t="s">
        <v>24</v>
      </c>
      <c r="M744">
        <v>1</v>
      </c>
      <c r="N744" s="2" t="s">
        <v>37</v>
      </c>
      <c r="O744">
        <v>1</v>
      </c>
    </row>
    <row r="745" spans="1:15" x14ac:dyDescent="0.35">
      <c r="A745" s="2" t="s">
        <v>187</v>
      </c>
      <c r="B745" s="2" t="s">
        <v>56</v>
      </c>
      <c r="C745" s="2" t="s">
        <v>50</v>
      </c>
      <c r="D745" s="2" t="s">
        <v>231</v>
      </c>
      <c r="E745">
        <v>2017</v>
      </c>
      <c r="F745" s="2" t="s">
        <v>2</v>
      </c>
      <c r="G745">
        <v>1</v>
      </c>
      <c r="H745" s="2" t="s">
        <v>7</v>
      </c>
      <c r="I745">
        <v>1</v>
      </c>
      <c r="J745" s="2" t="s">
        <v>17</v>
      </c>
      <c r="K745">
        <v>1</v>
      </c>
      <c r="L745" s="2" t="s">
        <v>24</v>
      </c>
      <c r="M745">
        <v>1</v>
      </c>
      <c r="N745" s="2" t="s">
        <v>38</v>
      </c>
      <c r="O745">
        <v>1</v>
      </c>
    </row>
    <row r="746" spans="1:15" x14ac:dyDescent="0.35">
      <c r="A746" s="2" t="s">
        <v>187</v>
      </c>
      <c r="B746" s="2" t="s">
        <v>56</v>
      </c>
      <c r="C746" s="2" t="s">
        <v>50</v>
      </c>
      <c r="D746" s="2" t="s">
        <v>231</v>
      </c>
      <c r="E746">
        <v>2017</v>
      </c>
      <c r="F746" s="2" t="s">
        <v>2</v>
      </c>
      <c r="G746">
        <v>1</v>
      </c>
      <c r="H746" s="2" t="s">
        <v>7</v>
      </c>
      <c r="I746">
        <v>1</v>
      </c>
      <c r="J746" s="2" t="s">
        <v>17</v>
      </c>
      <c r="K746">
        <v>1</v>
      </c>
      <c r="L746" s="2" t="s">
        <v>24</v>
      </c>
      <c r="M746">
        <v>1</v>
      </c>
      <c r="N746" s="2" t="s">
        <v>39</v>
      </c>
      <c r="O746">
        <v>1</v>
      </c>
    </row>
    <row r="747" spans="1:15" x14ac:dyDescent="0.35">
      <c r="A747" s="2" t="s">
        <v>187</v>
      </c>
      <c r="B747" s="2" t="s">
        <v>56</v>
      </c>
      <c r="C747" s="2" t="s">
        <v>50</v>
      </c>
      <c r="D747" s="2" t="s">
        <v>231</v>
      </c>
      <c r="E747">
        <v>2017</v>
      </c>
      <c r="F747" s="2" t="s">
        <v>2</v>
      </c>
      <c r="G747">
        <v>1</v>
      </c>
      <c r="H747" s="2" t="s">
        <v>7</v>
      </c>
      <c r="I747">
        <v>1</v>
      </c>
      <c r="J747" s="2" t="s">
        <v>17</v>
      </c>
      <c r="K747">
        <v>1</v>
      </c>
      <c r="L747" s="2" t="s">
        <v>24</v>
      </c>
      <c r="M747">
        <v>1</v>
      </c>
      <c r="N747" s="2" t="s">
        <v>40</v>
      </c>
      <c r="O747">
        <v>1</v>
      </c>
    </row>
    <row r="748" spans="1:15" x14ac:dyDescent="0.35">
      <c r="A748" s="2" t="s">
        <v>93</v>
      </c>
      <c r="B748" s="2" t="s">
        <v>56</v>
      </c>
      <c r="C748" s="2" t="s">
        <v>50</v>
      </c>
      <c r="D748" s="2" t="s">
        <v>231</v>
      </c>
      <c r="E748">
        <v>2020</v>
      </c>
      <c r="F748" s="2" t="s">
        <v>4</v>
      </c>
      <c r="G748">
        <v>1</v>
      </c>
      <c r="H748" s="2" t="s">
        <v>8</v>
      </c>
      <c r="I748">
        <v>1</v>
      </c>
      <c r="J748" s="2" t="s">
        <v>15</v>
      </c>
      <c r="K748">
        <v>1</v>
      </c>
      <c r="L748" s="2" t="s">
        <v>24</v>
      </c>
      <c r="M748">
        <v>1</v>
      </c>
      <c r="N748" s="2" t="s">
        <v>37</v>
      </c>
      <c r="O748">
        <v>1</v>
      </c>
    </row>
    <row r="749" spans="1:15" x14ac:dyDescent="0.35">
      <c r="A749" s="2" t="s">
        <v>93</v>
      </c>
      <c r="B749" s="2" t="s">
        <v>56</v>
      </c>
      <c r="C749" s="2" t="s">
        <v>50</v>
      </c>
      <c r="D749" s="2" t="s">
        <v>231</v>
      </c>
      <c r="E749">
        <v>2020</v>
      </c>
      <c r="F749" s="2" t="s">
        <v>4</v>
      </c>
      <c r="G749">
        <v>1</v>
      </c>
      <c r="H749" s="2" t="s">
        <v>8</v>
      </c>
      <c r="I749">
        <v>1</v>
      </c>
      <c r="J749" s="2" t="s">
        <v>15</v>
      </c>
      <c r="K749">
        <v>1</v>
      </c>
      <c r="L749" s="2" t="s">
        <v>24</v>
      </c>
      <c r="M749">
        <v>1</v>
      </c>
      <c r="N749" s="2" t="s">
        <v>38</v>
      </c>
      <c r="O749">
        <v>1</v>
      </c>
    </row>
    <row r="750" spans="1:15" x14ac:dyDescent="0.35">
      <c r="A750" s="2" t="s">
        <v>93</v>
      </c>
      <c r="B750" s="2" t="s">
        <v>56</v>
      </c>
      <c r="C750" s="2" t="s">
        <v>50</v>
      </c>
      <c r="D750" s="2" t="s">
        <v>231</v>
      </c>
      <c r="E750">
        <v>2020</v>
      </c>
      <c r="F750" s="2" t="s">
        <v>4</v>
      </c>
      <c r="G750">
        <v>1</v>
      </c>
      <c r="H750" s="2" t="s">
        <v>8</v>
      </c>
      <c r="I750">
        <v>1</v>
      </c>
      <c r="J750" s="2" t="s">
        <v>15</v>
      </c>
      <c r="K750">
        <v>1</v>
      </c>
      <c r="L750" s="2" t="s">
        <v>24</v>
      </c>
      <c r="M750">
        <v>1</v>
      </c>
      <c r="N750" s="2" t="s">
        <v>39</v>
      </c>
      <c r="O750">
        <v>1</v>
      </c>
    </row>
    <row r="751" spans="1:15" x14ac:dyDescent="0.35">
      <c r="A751" s="2" t="s">
        <v>93</v>
      </c>
      <c r="B751" s="2" t="s">
        <v>56</v>
      </c>
      <c r="C751" s="2" t="s">
        <v>50</v>
      </c>
      <c r="D751" s="2" t="s">
        <v>231</v>
      </c>
      <c r="E751">
        <v>2020</v>
      </c>
      <c r="F751" s="2" t="s">
        <v>4</v>
      </c>
      <c r="G751">
        <v>1</v>
      </c>
      <c r="H751" s="2" t="s">
        <v>8</v>
      </c>
      <c r="I751">
        <v>1</v>
      </c>
      <c r="J751" s="2" t="s">
        <v>15</v>
      </c>
      <c r="K751">
        <v>1</v>
      </c>
      <c r="L751" s="2" t="s">
        <v>24</v>
      </c>
      <c r="M751">
        <v>1</v>
      </c>
      <c r="N751" s="2" t="s">
        <v>40</v>
      </c>
      <c r="O751">
        <v>1</v>
      </c>
    </row>
    <row r="752" spans="1:15" x14ac:dyDescent="0.35">
      <c r="A752" s="2" t="s">
        <v>93</v>
      </c>
      <c r="B752" s="2" t="s">
        <v>56</v>
      </c>
      <c r="C752" s="2" t="s">
        <v>50</v>
      </c>
      <c r="D752" s="2" t="s">
        <v>231</v>
      </c>
      <c r="E752">
        <v>2020</v>
      </c>
      <c r="F752" s="2" t="s">
        <v>4</v>
      </c>
      <c r="G752">
        <v>1</v>
      </c>
      <c r="H752" s="2" t="s">
        <v>8</v>
      </c>
      <c r="I752">
        <v>1</v>
      </c>
      <c r="J752" s="2" t="s">
        <v>15</v>
      </c>
      <c r="K752">
        <v>1</v>
      </c>
      <c r="L752" s="2" t="s">
        <v>24</v>
      </c>
      <c r="M752">
        <v>1</v>
      </c>
      <c r="N752" s="2" t="s">
        <v>46</v>
      </c>
      <c r="O752">
        <v>1</v>
      </c>
    </row>
    <row r="753" spans="1:15" x14ac:dyDescent="0.35">
      <c r="A753" s="2" t="s">
        <v>93</v>
      </c>
      <c r="B753" s="2" t="s">
        <v>56</v>
      </c>
      <c r="C753" s="2" t="s">
        <v>50</v>
      </c>
      <c r="D753" s="2" t="s">
        <v>231</v>
      </c>
      <c r="E753">
        <v>2020</v>
      </c>
      <c r="F753" s="2" t="s">
        <v>4</v>
      </c>
      <c r="G753">
        <v>1</v>
      </c>
      <c r="H753" s="2" t="s">
        <v>8</v>
      </c>
      <c r="I753">
        <v>1</v>
      </c>
      <c r="J753" s="2" t="s">
        <v>16</v>
      </c>
      <c r="K753">
        <v>1</v>
      </c>
      <c r="L753" s="2" t="s">
        <v>24</v>
      </c>
      <c r="M753">
        <v>1</v>
      </c>
      <c r="N753" s="2" t="s">
        <v>37</v>
      </c>
      <c r="O753">
        <v>1</v>
      </c>
    </row>
    <row r="754" spans="1:15" x14ac:dyDescent="0.35">
      <c r="A754" s="2" t="s">
        <v>93</v>
      </c>
      <c r="B754" s="2" t="s">
        <v>56</v>
      </c>
      <c r="C754" s="2" t="s">
        <v>50</v>
      </c>
      <c r="D754" s="2" t="s">
        <v>231</v>
      </c>
      <c r="E754">
        <v>2020</v>
      </c>
      <c r="F754" s="2" t="s">
        <v>4</v>
      </c>
      <c r="G754">
        <v>1</v>
      </c>
      <c r="H754" s="2" t="s">
        <v>8</v>
      </c>
      <c r="I754">
        <v>1</v>
      </c>
      <c r="J754" s="2" t="s">
        <v>16</v>
      </c>
      <c r="K754">
        <v>1</v>
      </c>
      <c r="L754" s="2" t="s">
        <v>24</v>
      </c>
      <c r="M754">
        <v>1</v>
      </c>
      <c r="N754" s="2" t="s">
        <v>38</v>
      </c>
      <c r="O754">
        <v>1</v>
      </c>
    </row>
    <row r="755" spans="1:15" x14ac:dyDescent="0.35">
      <c r="A755" s="2" t="s">
        <v>93</v>
      </c>
      <c r="B755" s="2" t="s">
        <v>56</v>
      </c>
      <c r="C755" s="2" t="s">
        <v>50</v>
      </c>
      <c r="D755" s="2" t="s">
        <v>231</v>
      </c>
      <c r="E755">
        <v>2020</v>
      </c>
      <c r="F755" s="2" t="s">
        <v>4</v>
      </c>
      <c r="G755">
        <v>1</v>
      </c>
      <c r="H755" s="2" t="s">
        <v>8</v>
      </c>
      <c r="I755">
        <v>1</v>
      </c>
      <c r="J755" s="2" t="s">
        <v>16</v>
      </c>
      <c r="K755">
        <v>1</v>
      </c>
      <c r="L755" s="2" t="s">
        <v>24</v>
      </c>
      <c r="M755">
        <v>1</v>
      </c>
      <c r="N755" s="2" t="s">
        <v>39</v>
      </c>
      <c r="O755">
        <v>1</v>
      </c>
    </row>
    <row r="756" spans="1:15" x14ac:dyDescent="0.35">
      <c r="A756" s="2" t="s">
        <v>93</v>
      </c>
      <c r="B756" s="2" t="s">
        <v>56</v>
      </c>
      <c r="C756" s="2" t="s">
        <v>50</v>
      </c>
      <c r="D756" s="2" t="s">
        <v>231</v>
      </c>
      <c r="E756">
        <v>2020</v>
      </c>
      <c r="F756" s="2" t="s">
        <v>4</v>
      </c>
      <c r="G756">
        <v>1</v>
      </c>
      <c r="H756" s="2" t="s">
        <v>8</v>
      </c>
      <c r="I756">
        <v>1</v>
      </c>
      <c r="J756" s="2" t="s">
        <v>16</v>
      </c>
      <c r="K756">
        <v>1</v>
      </c>
      <c r="L756" s="2" t="s">
        <v>24</v>
      </c>
      <c r="M756">
        <v>1</v>
      </c>
      <c r="N756" s="2" t="s">
        <v>40</v>
      </c>
      <c r="O756">
        <v>1</v>
      </c>
    </row>
    <row r="757" spans="1:15" x14ac:dyDescent="0.35">
      <c r="A757" s="2" t="s">
        <v>93</v>
      </c>
      <c r="B757" s="2" t="s">
        <v>56</v>
      </c>
      <c r="C757" s="2" t="s">
        <v>50</v>
      </c>
      <c r="D757" s="2" t="s">
        <v>231</v>
      </c>
      <c r="E757">
        <v>2020</v>
      </c>
      <c r="F757" s="2" t="s">
        <v>4</v>
      </c>
      <c r="G757">
        <v>1</v>
      </c>
      <c r="H757" s="2" t="s">
        <v>8</v>
      </c>
      <c r="I757">
        <v>1</v>
      </c>
      <c r="J757" s="2" t="s">
        <v>16</v>
      </c>
      <c r="K757">
        <v>1</v>
      </c>
      <c r="L757" s="2" t="s">
        <v>24</v>
      </c>
      <c r="M757">
        <v>1</v>
      </c>
      <c r="N757" s="2" t="s">
        <v>46</v>
      </c>
      <c r="O757">
        <v>1</v>
      </c>
    </row>
    <row r="758" spans="1:15" x14ac:dyDescent="0.35">
      <c r="A758" s="2" t="s">
        <v>96</v>
      </c>
      <c r="B758" s="2" t="s">
        <v>56</v>
      </c>
      <c r="C758" s="2" t="s">
        <v>50</v>
      </c>
      <c r="D758" s="2" t="s">
        <v>231</v>
      </c>
      <c r="E758">
        <v>2019</v>
      </c>
      <c r="F758" s="2" t="s">
        <v>4</v>
      </c>
      <c r="G758">
        <v>1</v>
      </c>
      <c r="H758" s="2" t="s">
        <v>13</v>
      </c>
      <c r="I758">
        <v>1</v>
      </c>
      <c r="J758" s="2" t="s">
        <v>16</v>
      </c>
      <c r="K758">
        <v>1</v>
      </c>
      <c r="L758" s="2" t="s">
        <v>24</v>
      </c>
      <c r="M758">
        <v>1</v>
      </c>
      <c r="N758" s="2" t="s">
        <v>37</v>
      </c>
      <c r="O758">
        <v>1</v>
      </c>
    </row>
    <row r="759" spans="1:15" x14ac:dyDescent="0.35">
      <c r="A759" s="2" t="s">
        <v>96</v>
      </c>
      <c r="B759" s="2" t="s">
        <v>56</v>
      </c>
      <c r="C759" s="2" t="s">
        <v>50</v>
      </c>
      <c r="D759" s="2" t="s">
        <v>231</v>
      </c>
      <c r="E759">
        <v>2019</v>
      </c>
      <c r="F759" s="2" t="s">
        <v>4</v>
      </c>
      <c r="G759">
        <v>1</v>
      </c>
      <c r="H759" s="2" t="s">
        <v>13</v>
      </c>
      <c r="I759">
        <v>1</v>
      </c>
      <c r="J759" s="2" t="s">
        <v>16</v>
      </c>
      <c r="K759">
        <v>1</v>
      </c>
      <c r="L759" s="2" t="s">
        <v>24</v>
      </c>
      <c r="M759">
        <v>1</v>
      </c>
      <c r="N759" s="2" t="s">
        <v>38</v>
      </c>
      <c r="O759">
        <v>1</v>
      </c>
    </row>
    <row r="760" spans="1:15" x14ac:dyDescent="0.35">
      <c r="A760" s="2" t="s">
        <v>96</v>
      </c>
      <c r="B760" s="2" t="s">
        <v>56</v>
      </c>
      <c r="C760" s="2" t="s">
        <v>50</v>
      </c>
      <c r="D760" s="2" t="s">
        <v>231</v>
      </c>
      <c r="E760">
        <v>2019</v>
      </c>
      <c r="F760" s="2" t="s">
        <v>4</v>
      </c>
      <c r="G760">
        <v>1</v>
      </c>
      <c r="H760" s="2" t="s">
        <v>13</v>
      </c>
      <c r="I760">
        <v>1</v>
      </c>
      <c r="J760" s="2" t="s">
        <v>16</v>
      </c>
      <c r="K760">
        <v>1</v>
      </c>
      <c r="L760" s="2" t="s">
        <v>24</v>
      </c>
      <c r="M760">
        <v>1</v>
      </c>
      <c r="N760" s="2" t="s">
        <v>39</v>
      </c>
      <c r="O760">
        <v>1</v>
      </c>
    </row>
    <row r="761" spans="1:15" x14ac:dyDescent="0.35">
      <c r="A761" s="2" t="s">
        <v>96</v>
      </c>
      <c r="B761" s="2" t="s">
        <v>56</v>
      </c>
      <c r="C761" s="2" t="s">
        <v>50</v>
      </c>
      <c r="D761" s="2" t="s">
        <v>231</v>
      </c>
      <c r="E761">
        <v>2019</v>
      </c>
      <c r="F761" s="2" t="s">
        <v>4</v>
      </c>
      <c r="G761">
        <v>1</v>
      </c>
      <c r="H761" s="2" t="s">
        <v>13</v>
      </c>
      <c r="I761">
        <v>1</v>
      </c>
      <c r="J761" s="2" t="s">
        <v>16</v>
      </c>
      <c r="K761">
        <v>1</v>
      </c>
      <c r="L761" s="2" t="s">
        <v>24</v>
      </c>
      <c r="M761">
        <v>1</v>
      </c>
      <c r="N761" s="2" t="s">
        <v>46</v>
      </c>
      <c r="O761">
        <v>1</v>
      </c>
    </row>
    <row r="762" spans="1:15" x14ac:dyDescent="0.35">
      <c r="A762" s="2" t="s">
        <v>127</v>
      </c>
      <c r="B762" s="2" t="s">
        <v>66</v>
      </c>
      <c r="C762" s="2" t="s">
        <v>50</v>
      </c>
      <c r="D762" s="2" t="s">
        <v>231</v>
      </c>
      <c r="E762">
        <v>2018</v>
      </c>
      <c r="F762" s="2" t="s">
        <v>4</v>
      </c>
      <c r="G762">
        <v>1</v>
      </c>
      <c r="H762" s="2" t="s">
        <v>8</v>
      </c>
      <c r="I762">
        <v>1</v>
      </c>
      <c r="J762" s="2" t="s">
        <v>14</v>
      </c>
      <c r="K762">
        <v>1</v>
      </c>
      <c r="L762" s="2" t="s">
        <v>24</v>
      </c>
      <c r="M762">
        <v>1</v>
      </c>
      <c r="N762" s="2" t="s">
        <v>37</v>
      </c>
      <c r="O762">
        <v>1</v>
      </c>
    </row>
    <row r="763" spans="1:15" x14ac:dyDescent="0.35">
      <c r="A763" s="2" t="s">
        <v>127</v>
      </c>
      <c r="B763" s="2" t="s">
        <v>66</v>
      </c>
      <c r="C763" s="2" t="s">
        <v>50</v>
      </c>
      <c r="D763" s="2" t="s">
        <v>231</v>
      </c>
      <c r="E763">
        <v>2018</v>
      </c>
      <c r="F763" s="2" t="s">
        <v>4</v>
      </c>
      <c r="G763">
        <v>1</v>
      </c>
      <c r="H763" s="2" t="s">
        <v>8</v>
      </c>
      <c r="I763">
        <v>1</v>
      </c>
      <c r="J763" s="2" t="s">
        <v>14</v>
      </c>
      <c r="K763">
        <v>1</v>
      </c>
      <c r="L763" s="2" t="s">
        <v>24</v>
      </c>
      <c r="M763">
        <v>1</v>
      </c>
      <c r="N763" s="2" t="s">
        <v>38</v>
      </c>
      <c r="O763">
        <v>1</v>
      </c>
    </row>
    <row r="764" spans="1:15" x14ac:dyDescent="0.35">
      <c r="A764" s="2" t="s">
        <v>127</v>
      </c>
      <c r="B764" s="2" t="s">
        <v>66</v>
      </c>
      <c r="C764" s="2" t="s">
        <v>50</v>
      </c>
      <c r="D764" s="2" t="s">
        <v>231</v>
      </c>
      <c r="E764">
        <v>2018</v>
      </c>
      <c r="F764" s="2" t="s">
        <v>4</v>
      </c>
      <c r="G764">
        <v>1</v>
      </c>
      <c r="H764" s="2" t="s">
        <v>8</v>
      </c>
      <c r="I764">
        <v>1</v>
      </c>
      <c r="J764" s="2" t="s">
        <v>15</v>
      </c>
      <c r="K764">
        <v>1</v>
      </c>
      <c r="L764" s="2" t="s">
        <v>24</v>
      </c>
      <c r="M764">
        <v>1</v>
      </c>
      <c r="N764" s="2" t="s">
        <v>37</v>
      </c>
      <c r="O764">
        <v>1</v>
      </c>
    </row>
    <row r="765" spans="1:15" x14ac:dyDescent="0.35">
      <c r="A765" s="2" t="s">
        <v>127</v>
      </c>
      <c r="B765" s="2" t="s">
        <v>66</v>
      </c>
      <c r="C765" s="2" t="s">
        <v>50</v>
      </c>
      <c r="D765" s="2" t="s">
        <v>231</v>
      </c>
      <c r="E765">
        <v>2018</v>
      </c>
      <c r="F765" s="2" t="s">
        <v>4</v>
      </c>
      <c r="G765">
        <v>1</v>
      </c>
      <c r="H765" s="2" t="s">
        <v>8</v>
      </c>
      <c r="I765">
        <v>1</v>
      </c>
      <c r="J765" s="2" t="s">
        <v>15</v>
      </c>
      <c r="K765">
        <v>1</v>
      </c>
      <c r="L765" s="2" t="s">
        <v>24</v>
      </c>
      <c r="M765">
        <v>1</v>
      </c>
      <c r="N765" s="2" t="s">
        <v>38</v>
      </c>
      <c r="O765">
        <v>1</v>
      </c>
    </row>
    <row r="766" spans="1:15" x14ac:dyDescent="0.35">
      <c r="A766" s="2" t="s">
        <v>151</v>
      </c>
      <c r="B766" s="2" t="s">
        <v>49</v>
      </c>
      <c r="C766" s="2" t="s">
        <v>50</v>
      </c>
      <c r="D766" s="2" t="s">
        <v>231</v>
      </c>
      <c r="E766">
        <v>2021</v>
      </c>
      <c r="F766" s="2" t="s">
        <v>4</v>
      </c>
      <c r="G766">
        <v>1</v>
      </c>
      <c r="H766" s="2" t="s">
        <v>13</v>
      </c>
      <c r="I766">
        <v>1</v>
      </c>
      <c r="J766" s="2" t="s">
        <v>16</v>
      </c>
      <c r="K766">
        <v>1</v>
      </c>
      <c r="L766" s="2" t="s">
        <v>24</v>
      </c>
      <c r="M766">
        <v>1</v>
      </c>
      <c r="N766" s="2" t="s">
        <v>37</v>
      </c>
      <c r="O766">
        <v>1</v>
      </c>
    </row>
    <row r="767" spans="1:15" x14ac:dyDescent="0.35">
      <c r="A767" s="2" t="s">
        <v>151</v>
      </c>
      <c r="B767" s="2" t="s">
        <v>49</v>
      </c>
      <c r="C767" s="2" t="s">
        <v>50</v>
      </c>
      <c r="D767" s="2" t="s">
        <v>231</v>
      </c>
      <c r="E767">
        <v>2021</v>
      </c>
      <c r="F767" s="2" t="s">
        <v>4</v>
      </c>
      <c r="G767">
        <v>1</v>
      </c>
      <c r="H767" s="2" t="s">
        <v>13</v>
      </c>
      <c r="I767">
        <v>1</v>
      </c>
      <c r="J767" s="2" t="s">
        <v>16</v>
      </c>
      <c r="K767">
        <v>1</v>
      </c>
      <c r="L767" s="2" t="s">
        <v>24</v>
      </c>
      <c r="M767">
        <v>1</v>
      </c>
      <c r="N767" s="2" t="s">
        <v>38</v>
      </c>
      <c r="O767">
        <v>1</v>
      </c>
    </row>
    <row r="768" spans="1:15" x14ac:dyDescent="0.35">
      <c r="A768" s="2" t="s">
        <v>151</v>
      </c>
      <c r="B768" s="2" t="s">
        <v>49</v>
      </c>
      <c r="C768" s="2" t="s">
        <v>50</v>
      </c>
      <c r="D768" s="2" t="s">
        <v>231</v>
      </c>
      <c r="E768">
        <v>2021</v>
      </c>
      <c r="F768" s="2" t="s">
        <v>4</v>
      </c>
      <c r="G768">
        <v>1</v>
      </c>
      <c r="H768" s="2" t="s">
        <v>13</v>
      </c>
      <c r="I768">
        <v>1</v>
      </c>
      <c r="J768" s="2" t="s">
        <v>17</v>
      </c>
      <c r="K768">
        <v>1</v>
      </c>
      <c r="L768" s="2" t="s">
        <v>24</v>
      </c>
      <c r="M768">
        <v>1</v>
      </c>
      <c r="N768" s="2" t="s">
        <v>37</v>
      </c>
      <c r="O768">
        <v>1</v>
      </c>
    </row>
    <row r="769" spans="1:15" x14ac:dyDescent="0.35">
      <c r="A769" s="2" t="s">
        <v>151</v>
      </c>
      <c r="B769" s="2" t="s">
        <v>49</v>
      </c>
      <c r="C769" s="2" t="s">
        <v>50</v>
      </c>
      <c r="D769" s="2" t="s">
        <v>231</v>
      </c>
      <c r="E769">
        <v>2021</v>
      </c>
      <c r="F769" s="2" t="s">
        <v>4</v>
      </c>
      <c r="G769">
        <v>1</v>
      </c>
      <c r="H769" s="2" t="s">
        <v>13</v>
      </c>
      <c r="I769">
        <v>1</v>
      </c>
      <c r="J769" s="2" t="s">
        <v>17</v>
      </c>
      <c r="K769">
        <v>1</v>
      </c>
      <c r="L769" s="2" t="s">
        <v>24</v>
      </c>
      <c r="M769">
        <v>1</v>
      </c>
      <c r="N769" s="2" t="s">
        <v>38</v>
      </c>
      <c r="O769">
        <v>1</v>
      </c>
    </row>
    <row r="770" spans="1:15" x14ac:dyDescent="0.35">
      <c r="A770" s="2" t="s">
        <v>157</v>
      </c>
      <c r="B770" s="2" t="s">
        <v>66</v>
      </c>
      <c r="C770" s="2" t="s">
        <v>50</v>
      </c>
      <c r="D770" s="2" t="s">
        <v>231</v>
      </c>
      <c r="E770">
        <v>2021</v>
      </c>
      <c r="F770" s="2" t="s">
        <v>4</v>
      </c>
      <c r="G770">
        <v>1</v>
      </c>
      <c r="H770" s="2" t="s">
        <v>10</v>
      </c>
      <c r="I770">
        <v>1</v>
      </c>
      <c r="J770" s="2" t="s">
        <v>14</v>
      </c>
      <c r="K770">
        <v>1</v>
      </c>
      <c r="L770" s="2" t="s">
        <v>24</v>
      </c>
      <c r="M770">
        <v>1</v>
      </c>
      <c r="N770" s="2" t="s">
        <v>33</v>
      </c>
      <c r="O770">
        <v>1</v>
      </c>
    </row>
    <row r="771" spans="1:15" x14ac:dyDescent="0.35">
      <c r="A771" s="2" t="s">
        <v>157</v>
      </c>
      <c r="B771" s="2" t="s">
        <v>66</v>
      </c>
      <c r="C771" s="2" t="s">
        <v>50</v>
      </c>
      <c r="D771" s="2" t="s">
        <v>231</v>
      </c>
      <c r="E771">
        <v>2021</v>
      </c>
      <c r="F771" s="2" t="s">
        <v>4</v>
      </c>
      <c r="G771">
        <v>1</v>
      </c>
      <c r="H771" s="2" t="s">
        <v>10</v>
      </c>
      <c r="I771">
        <v>1</v>
      </c>
      <c r="J771" s="2" t="s">
        <v>14</v>
      </c>
      <c r="K771">
        <v>1</v>
      </c>
      <c r="L771" s="2" t="s">
        <v>24</v>
      </c>
      <c r="M771">
        <v>1</v>
      </c>
      <c r="N771" s="2" t="s">
        <v>44</v>
      </c>
      <c r="O771">
        <v>1</v>
      </c>
    </row>
    <row r="772" spans="1:15" x14ac:dyDescent="0.35">
      <c r="A772" s="2" t="s">
        <v>157</v>
      </c>
      <c r="B772" s="2" t="s">
        <v>66</v>
      </c>
      <c r="C772" s="2" t="s">
        <v>50</v>
      </c>
      <c r="D772" s="2" t="s">
        <v>231</v>
      </c>
      <c r="E772">
        <v>2021</v>
      </c>
      <c r="F772" s="2" t="s">
        <v>4</v>
      </c>
      <c r="G772">
        <v>1</v>
      </c>
      <c r="H772" s="2" t="s">
        <v>10</v>
      </c>
      <c r="I772">
        <v>1</v>
      </c>
      <c r="J772" s="2" t="s">
        <v>15</v>
      </c>
      <c r="K772">
        <v>1</v>
      </c>
      <c r="L772" s="2" t="s">
        <v>24</v>
      </c>
      <c r="M772">
        <v>1</v>
      </c>
      <c r="N772" s="2" t="s">
        <v>33</v>
      </c>
      <c r="O772">
        <v>1</v>
      </c>
    </row>
    <row r="773" spans="1:15" x14ac:dyDescent="0.35">
      <c r="A773" s="2" t="s">
        <v>157</v>
      </c>
      <c r="B773" s="2" t="s">
        <v>66</v>
      </c>
      <c r="C773" s="2" t="s">
        <v>50</v>
      </c>
      <c r="D773" s="2" t="s">
        <v>231</v>
      </c>
      <c r="E773">
        <v>2021</v>
      </c>
      <c r="F773" s="2" t="s">
        <v>4</v>
      </c>
      <c r="G773">
        <v>1</v>
      </c>
      <c r="H773" s="2" t="s">
        <v>10</v>
      </c>
      <c r="I773">
        <v>1</v>
      </c>
      <c r="J773" s="2" t="s">
        <v>15</v>
      </c>
      <c r="K773">
        <v>1</v>
      </c>
      <c r="L773" s="2" t="s">
        <v>24</v>
      </c>
      <c r="M773">
        <v>1</v>
      </c>
      <c r="N773" s="2" t="s">
        <v>44</v>
      </c>
      <c r="O773">
        <v>1</v>
      </c>
    </row>
    <row r="774" spans="1:15" x14ac:dyDescent="0.35">
      <c r="A774" s="2" t="s">
        <v>159</v>
      </c>
      <c r="B774" s="2" t="s">
        <v>66</v>
      </c>
      <c r="C774" s="2" t="s">
        <v>50</v>
      </c>
      <c r="D774" s="2" t="s">
        <v>231</v>
      </c>
      <c r="E774">
        <v>2020</v>
      </c>
      <c r="F774" s="2" t="s">
        <v>4</v>
      </c>
      <c r="G774">
        <v>1</v>
      </c>
      <c r="H774" s="2" t="s">
        <v>10</v>
      </c>
      <c r="I774">
        <v>1</v>
      </c>
      <c r="J774" s="2" t="s">
        <v>15</v>
      </c>
      <c r="K774">
        <v>1</v>
      </c>
      <c r="L774" s="2" t="s">
        <v>24</v>
      </c>
      <c r="M774">
        <v>1</v>
      </c>
      <c r="N774" s="2" t="s">
        <v>37</v>
      </c>
      <c r="O774">
        <v>1</v>
      </c>
    </row>
    <row r="775" spans="1:15" x14ac:dyDescent="0.35">
      <c r="A775" s="2" t="s">
        <v>159</v>
      </c>
      <c r="B775" s="2" t="s">
        <v>66</v>
      </c>
      <c r="C775" s="2" t="s">
        <v>50</v>
      </c>
      <c r="D775" s="2" t="s">
        <v>231</v>
      </c>
      <c r="E775">
        <v>2020</v>
      </c>
      <c r="F775" s="2" t="s">
        <v>4</v>
      </c>
      <c r="G775">
        <v>1</v>
      </c>
      <c r="H775" s="2" t="s">
        <v>10</v>
      </c>
      <c r="I775">
        <v>1</v>
      </c>
      <c r="J775" s="2" t="s">
        <v>15</v>
      </c>
      <c r="K775">
        <v>1</v>
      </c>
      <c r="L775" s="2" t="s">
        <v>24</v>
      </c>
      <c r="M775">
        <v>1</v>
      </c>
      <c r="N775" s="2" t="s">
        <v>38</v>
      </c>
      <c r="O775">
        <v>1</v>
      </c>
    </row>
    <row r="776" spans="1:15" x14ac:dyDescent="0.35">
      <c r="A776" s="2" t="s">
        <v>159</v>
      </c>
      <c r="B776" s="2" t="s">
        <v>66</v>
      </c>
      <c r="C776" s="2" t="s">
        <v>50</v>
      </c>
      <c r="D776" s="2" t="s">
        <v>231</v>
      </c>
      <c r="E776">
        <v>2020</v>
      </c>
      <c r="F776" s="2" t="s">
        <v>4</v>
      </c>
      <c r="G776">
        <v>1</v>
      </c>
      <c r="H776" s="2" t="s">
        <v>10</v>
      </c>
      <c r="I776">
        <v>1</v>
      </c>
      <c r="J776" s="2" t="s">
        <v>15</v>
      </c>
      <c r="K776">
        <v>1</v>
      </c>
      <c r="L776" s="2" t="s">
        <v>24</v>
      </c>
      <c r="M776">
        <v>1</v>
      </c>
      <c r="N776" s="2" t="s">
        <v>44</v>
      </c>
      <c r="O776">
        <v>1</v>
      </c>
    </row>
    <row r="777" spans="1:15" x14ac:dyDescent="0.35">
      <c r="A777" s="2" t="s">
        <v>162</v>
      </c>
      <c r="B777" s="2" t="s">
        <v>66</v>
      </c>
      <c r="C777" s="2" t="s">
        <v>50</v>
      </c>
      <c r="D777" s="2" t="s">
        <v>231</v>
      </c>
      <c r="E777">
        <v>2015</v>
      </c>
      <c r="F777" s="2" t="s">
        <v>4</v>
      </c>
      <c r="G777">
        <v>1</v>
      </c>
      <c r="H777" s="2" t="s">
        <v>8</v>
      </c>
      <c r="I777">
        <v>1</v>
      </c>
      <c r="J777" s="2" t="s">
        <v>14</v>
      </c>
      <c r="K777">
        <v>1</v>
      </c>
      <c r="L777" s="2" t="s">
        <v>24</v>
      </c>
      <c r="M777">
        <v>1</v>
      </c>
      <c r="N777" s="2" t="s">
        <v>37</v>
      </c>
      <c r="O777">
        <v>1</v>
      </c>
    </row>
    <row r="778" spans="1:15" x14ac:dyDescent="0.35">
      <c r="A778" s="2" t="s">
        <v>162</v>
      </c>
      <c r="B778" s="2" t="s">
        <v>66</v>
      </c>
      <c r="C778" s="2" t="s">
        <v>50</v>
      </c>
      <c r="D778" s="2" t="s">
        <v>231</v>
      </c>
      <c r="E778">
        <v>2015</v>
      </c>
      <c r="F778" s="2" t="s">
        <v>4</v>
      </c>
      <c r="G778">
        <v>1</v>
      </c>
      <c r="H778" s="2" t="s">
        <v>8</v>
      </c>
      <c r="I778">
        <v>1</v>
      </c>
      <c r="J778" s="2" t="s">
        <v>14</v>
      </c>
      <c r="K778">
        <v>1</v>
      </c>
      <c r="L778" s="2" t="s">
        <v>24</v>
      </c>
      <c r="M778">
        <v>1</v>
      </c>
      <c r="N778" s="2" t="s">
        <v>38</v>
      </c>
      <c r="O778">
        <v>1</v>
      </c>
    </row>
    <row r="779" spans="1:15" x14ac:dyDescent="0.35">
      <c r="A779" s="2" t="s">
        <v>162</v>
      </c>
      <c r="B779" s="2" t="s">
        <v>66</v>
      </c>
      <c r="C779" s="2" t="s">
        <v>50</v>
      </c>
      <c r="D779" s="2" t="s">
        <v>231</v>
      </c>
      <c r="E779">
        <v>2015</v>
      </c>
      <c r="F779" s="2" t="s">
        <v>4</v>
      </c>
      <c r="G779">
        <v>1</v>
      </c>
      <c r="H779" s="2" t="s">
        <v>8</v>
      </c>
      <c r="I779">
        <v>1</v>
      </c>
      <c r="J779" s="2" t="s">
        <v>14</v>
      </c>
      <c r="K779">
        <v>1</v>
      </c>
      <c r="L779" s="2" t="s">
        <v>24</v>
      </c>
      <c r="M779">
        <v>1</v>
      </c>
      <c r="N779" s="2" t="s">
        <v>44</v>
      </c>
      <c r="O779">
        <v>1</v>
      </c>
    </row>
    <row r="780" spans="1:15" x14ac:dyDescent="0.35">
      <c r="A780" s="2" t="s">
        <v>162</v>
      </c>
      <c r="B780" s="2" t="s">
        <v>66</v>
      </c>
      <c r="C780" s="2" t="s">
        <v>50</v>
      </c>
      <c r="D780" s="2" t="s">
        <v>231</v>
      </c>
      <c r="E780">
        <v>2015</v>
      </c>
      <c r="F780" s="2" t="s">
        <v>4</v>
      </c>
      <c r="G780">
        <v>1</v>
      </c>
      <c r="H780" s="2" t="s">
        <v>8</v>
      </c>
      <c r="I780">
        <v>1</v>
      </c>
      <c r="J780" s="2" t="s">
        <v>15</v>
      </c>
      <c r="K780">
        <v>1</v>
      </c>
      <c r="L780" s="2" t="s">
        <v>24</v>
      </c>
      <c r="M780">
        <v>1</v>
      </c>
      <c r="N780" s="2" t="s">
        <v>37</v>
      </c>
      <c r="O780">
        <v>1</v>
      </c>
    </row>
    <row r="781" spans="1:15" x14ac:dyDescent="0.35">
      <c r="A781" s="2" t="s">
        <v>162</v>
      </c>
      <c r="B781" s="2" t="s">
        <v>66</v>
      </c>
      <c r="C781" s="2" t="s">
        <v>50</v>
      </c>
      <c r="D781" s="2" t="s">
        <v>231</v>
      </c>
      <c r="E781">
        <v>2015</v>
      </c>
      <c r="F781" s="2" t="s">
        <v>4</v>
      </c>
      <c r="G781">
        <v>1</v>
      </c>
      <c r="H781" s="2" t="s">
        <v>8</v>
      </c>
      <c r="I781">
        <v>1</v>
      </c>
      <c r="J781" s="2" t="s">
        <v>15</v>
      </c>
      <c r="K781">
        <v>1</v>
      </c>
      <c r="L781" s="2" t="s">
        <v>24</v>
      </c>
      <c r="M781">
        <v>1</v>
      </c>
      <c r="N781" s="2" t="s">
        <v>38</v>
      </c>
      <c r="O781">
        <v>1</v>
      </c>
    </row>
    <row r="782" spans="1:15" x14ac:dyDescent="0.35">
      <c r="A782" s="2" t="s">
        <v>162</v>
      </c>
      <c r="B782" s="2" t="s">
        <v>66</v>
      </c>
      <c r="C782" s="2" t="s">
        <v>50</v>
      </c>
      <c r="D782" s="2" t="s">
        <v>231</v>
      </c>
      <c r="E782">
        <v>2015</v>
      </c>
      <c r="F782" s="2" t="s">
        <v>4</v>
      </c>
      <c r="G782">
        <v>1</v>
      </c>
      <c r="H782" s="2" t="s">
        <v>8</v>
      </c>
      <c r="I782">
        <v>1</v>
      </c>
      <c r="J782" s="2" t="s">
        <v>15</v>
      </c>
      <c r="K782">
        <v>1</v>
      </c>
      <c r="L782" s="2" t="s">
        <v>24</v>
      </c>
      <c r="M782">
        <v>1</v>
      </c>
      <c r="N782" s="2" t="s">
        <v>44</v>
      </c>
      <c r="O782">
        <v>1</v>
      </c>
    </row>
    <row r="783" spans="1:15" x14ac:dyDescent="0.35">
      <c r="A783" s="2" t="s">
        <v>167</v>
      </c>
      <c r="B783" s="2" t="s">
        <v>49</v>
      </c>
      <c r="C783" s="2" t="s">
        <v>50</v>
      </c>
      <c r="D783" s="2" t="s">
        <v>231</v>
      </c>
      <c r="E783">
        <v>2013</v>
      </c>
      <c r="F783" s="2" t="s">
        <v>4</v>
      </c>
      <c r="G783">
        <v>1</v>
      </c>
      <c r="H783" s="2" t="s">
        <v>13</v>
      </c>
      <c r="I783">
        <v>1</v>
      </c>
      <c r="J783" s="2" t="s">
        <v>16</v>
      </c>
      <c r="K783">
        <v>1</v>
      </c>
      <c r="L783" s="2" t="s">
        <v>24</v>
      </c>
      <c r="M783">
        <v>1</v>
      </c>
      <c r="N783" s="2" t="s">
        <v>37</v>
      </c>
      <c r="O783">
        <v>1</v>
      </c>
    </row>
    <row r="784" spans="1:15" x14ac:dyDescent="0.35">
      <c r="A784" s="2" t="s">
        <v>167</v>
      </c>
      <c r="B784" s="2" t="s">
        <v>49</v>
      </c>
      <c r="C784" s="2" t="s">
        <v>50</v>
      </c>
      <c r="D784" s="2" t="s">
        <v>231</v>
      </c>
      <c r="E784">
        <v>2013</v>
      </c>
      <c r="F784" s="2" t="s">
        <v>4</v>
      </c>
      <c r="G784">
        <v>1</v>
      </c>
      <c r="H784" s="2" t="s">
        <v>13</v>
      </c>
      <c r="I784">
        <v>1</v>
      </c>
      <c r="J784" s="2" t="s">
        <v>16</v>
      </c>
      <c r="K784">
        <v>1</v>
      </c>
      <c r="L784" s="2" t="s">
        <v>24</v>
      </c>
      <c r="M784">
        <v>1</v>
      </c>
      <c r="N784" s="2" t="s">
        <v>38</v>
      </c>
      <c r="O784">
        <v>1</v>
      </c>
    </row>
    <row r="785" spans="1:15" x14ac:dyDescent="0.35">
      <c r="A785" s="2" t="s">
        <v>167</v>
      </c>
      <c r="B785" s="2" t="s">
        <v>49</v>
      </c>
      <c r="C785" s="2" t="s">
        <v>50</v>
      </c>
      <c r="D785" s="2" t="s">
        <v>231</v>
      </c>
      <c r="E785">
        <v>2013</v>
      </c>
      <c r="F785" s="2" t="s">
        <v>4</v>
      </c>
      <c r="G785">
        <v>1</v>
      </c>
      <c r="H785" s="2" t="s">
        <v>13</v>
      </c>
      <c r="I785">
        <v>1</v>
      </c>
      <c r="J785" s="2" t="s">
        <v>16</v>
      </c>
      <c r="K785">
        <v>1</v>
      </c>
      <c r="L785" s="2" t="s">
        <v>24</v>
      </c>
      <c r="M785">
        <v>1</v>
      </c>
      <c r="N785" s="2" t="s">
        <v>39</v>
      </c>
      <c r="O785">
        <v>1</v>
      </c>
    </row>
    <row r="786" spans="1:15" x14ac:dyDescent="0.35">
      <c r="A786" s="2" t="s">
        <v>167</v>
      </c>
      <c r="B786" s="2" t="s">
        <v>49</v>
      </c>
      <c r="C786" s="2" t="s">
        <v>50</v>
      </c>
      <c r="D786" s="2" t="s">
        <v>231</v>
      </c>
      <c r="E786">
        <v>2013</v>
      </c>
      <c r="F786" s="2" t="s">
        <v>4</v>
      </c>
      <c r="G786">
        <v>1</v>
      </c>
      <c r="H786" s="2" t="s">
        <v>13</v>
      </c>
      <c r="I786">
        <v>1</v>
      </c>
      <c r="J786" s="2" t="s">
        <v>16</v>
      </c>
      <c r="K786">
        <v>1</v>
      </c>
      <c r="L786" s="2" t="s">
        <v>24</v>
      </c>
      <c r="M786">
        <v>1</v>
      </c>
      <c r="N786" s="2" t="s">
        <v>44</v>
      </c>
      <c r="O786">
        <v>1</v>
      </c>
    </row>
    <row r="787" spans="1:15" x14ac:dyDescent="0.35">
      <c r="A787" s="2" t="s">
        <v>167</v>
      </c>
      <c r="B787" s="2" t="s">
        <v>49</v>
      </c>
      <c r="C787" s="2" t="s">
        <v>50</v>
      </c>
      <c r="D787" s="2" t="s">
        <v>231</v>
      </c>
      <c r="E787">
        <v>2013</v>
      </c>
      <c r="F787" s="2" t="s">
        <v>4</v>
      </c>
      <c r="G787">
        <v>1</v>
      </c>
      <c r="H787" s="2" t="s">
        <v>13</v>
      </c>
      <c r="I787">
        <v>1</v>
      </c>
      <c r="J787" s="2" t="s">
        <v>17</v>
      </c>
      <c r="K787">
        <v>1</v>
      </c>
      <c r="L787" s="2" t="s">
        <v>24</v>
      </c>
      <c r="M787">
        <v>1</v>
      </c>
      <c r="N787" s="2" t="s">
        <v>37</v>
      </c>
      <c r="O787">
        <v>1</v>
      </c>
    </row>
    <row r="788" spans="1:15" x14ac:dyDescent="0.35">
      <c r="A788" s="2" t="s">
        <v>167</v>
      </c>
      <c r="B788" s="2" t="s">
        <v>49</v>
      </c>
      <c r="C788" s="2" t="s">
        <v>50</v>
      </c>
      <c r="D788" s="2" t="s">
        <v>231</v>
      </c>
      <c r="E788">
        <v>2013</v>
      </c>
      <c r="F788" s="2" t="s">
        <v>4</v>
      </c>
      <c r="G788">
        <v>1</v>
      </c>
      <c r="H788" s="2" t="s">
        <v>13</v>
      </c>
      <c r="I788">
        <v>1</v>
      </c>
      <c r="J788" s="2" t="s">
        <v>17</v>
      </c>
      <c r="K788">
        <v>1</v>
      </c>
      <c r="L788" s="2" t="s">
        <v>24</v>
      </c>
      <c r="M788">
        <v>1</v>
      </c>
      <c r="N788" s="2" t="s">
        <v>38</v>
      </c>
      <c r="O788">
        <v>1</v>
      </c>
    </row>
    <row r="789" spans="1:15" x14ac:dyDescent="0.35">
      <c r="A789" s="2" t="s">
        <v>167</v>
      </c>
      <c r="B789" s="2" t="s">
        <v>49</v>
      </c>
      <c r="C789" s="2" t="s">
        <v>50</v>
      </c>
      <c r="D789" s="2" t="s">
        <v>231</v>
      </c>
      <c r="E789">
        <v>2013</v>
      </c>
      <c r="F789" s="2" t="s">
        <v>4</v>
      </c>
      <c r="G789">
        <v>1</v>
      </c>
      <c r="H789" s="2" t="s">
        <v>13</v>
      </c>
      <c r="I789">
        <v>1</v>
      </c>
      <c r="J789" s="2" t="s">
        <v>17</v>
      </c>
      <c r="K789">
        <v>1</v>
      </c>
      <c r="L789" s="2" t="s">
        <v>24</v>
      </c>
      <c r="M789">
        <v>1</v>
      </c>
      <c r="N789" s="2" t="s">
        <v>39</v>
      </c>
      <c r="O789">
        <v>1</v>
      </c>
    </row>
    <row r="790" spans="1:15" x14ac:dyDescent="0.35">
      <c r="A790" s="2" t="s">
        <v>167</v>
      </c>
      <c r="B790" s="2" t="s">
        <v>49</v>
      </c>
      <c r="C790" s="2" t="s">
        <v>50</v>
      </c>
      <c r="D790" s="2" t="s">
        <v>231</v>
      </c>
      <c r="E790">
        <v>2013</v>
      </c>
      <c r="F790" s="2" t="s">
        <v>4</v>
      </c>
      <c r="G790">
        <v>1</v>
      </c>
      <c r="H790" s="2" t="s">
        <v>13</v>
      </c>
      <c r="I790">
        <v>1</v>
      </c>
      <c r="J790" s="2" t="s">
        <v>17</v>
      </c>
      <c r="K790">
        <v>1</v>
      </c>
      <c r="L790" s="2" t="s">
        <v>24</v>
      </c>
      <c r="M790">
        <v>1</v>
      </c>
      <c r="N790" s="2" t="s">
        <v>44</v>
      </c>
      <c r="O790">
        <v>1</v>
      </c>
    </row>
    <row r="791" spans="1:15" x14ac:dyDescent="0.35">
      <c r="A791" s="2" t="s">
        <v>168</v>
      </c>
      <c r="B791" s="2" t="s">
        <v>56</v>
      </c>
      <c r="C791" s="2" t="s">
        <v>50</v>
      </c>
      <c r="D791" s="2" t="s">
        <v>231</v>
      </c>
      <c r="E791">
        <v>2014</v>
      </c>
      <c r="F791" s="2" t="s">
        <v>4</v>
      </c>
      <c r="G791">
        <v>1</v>
      </c>
      <c r="H791" s="2" t="s">
        <v>7</v>
      </c>
      <c r="I791">
        <v>1</v>
      </c>
      <c r="J791" s="2" t="s">
        <v>16</v>
      </c>
      <c r="K791">
        <v>1</v>
      </c>
      <c r="L791" s="2" t="s">
        <v>24</v>
      </c>
      <c r="M791">
        <v>1</v>
      </c>
      <c r="N791" s="2" t="s">
        <v>32</v>
      </c>
      <c r="O791">
        <v>1</v>
      </c>
    </row>
    <row r="792" spans="1:15" x14ac:dyDescent="0.35">
      <c r="A792" s="2" t="s">
        <v>168</v>
      </c>
      <c r="B792" s="2" t="s">
        <v>56</v>
      </c>
      <c r="C792" s="2" t="s">
        <v>50</v>
      </c>
      <c r="D792" s="2" t="s">
        <v>231</v>
      </c>
      <c r="E792">
        <v>2014</v>
      </c>
      <c r="F792" s="2" t="s">
        <v>4</v>
      </c>
      <c r="G792">
        <v>1</v>
      </c>
      <c r="H792" s="2" t="s">
        <v>7</v>
      </c>
      <c r="I792">
        <v>1</v>
      </c>
      <c r="J792" s="2" t="s">
        <v>16</v>
      </c>
      <c r="K792">
        <v>1</v>
      </c>
      <c r="L792" s="2" t="s">
        <v>24</v>
      </c>
      <c r="M792">
        <v>1</v>
      </c>
      <c r="N792" s="2" t="s">
        <v>35</v>
      </c>
      <c r="O792">
        <v>1</v>
      </c>
    </row>
    <row r="793" spans="1:15" x14ac:dyDescent="0.35">
      <c r="A793" s="2" t="s">
        <v>168</v>
      </c>
      <c r="B793" s="2" t="s">
        <v>56</v>
      </c>
      <c r="C793" s="2" t="s">
        <v>50</v>
      </c>
      <c r="D793" s="2" t="s">
        <v>231</v>
      </c>
      <c r="E793">
        <v>2014</v>
      </c>
      <c r="F793" s="2" t="s">
        <v>4</v>
      </c>
      <c r="G793">
        <v>1</v>
      </c>
      <c r="H793" s="2" t="s">
        <v>7</v>
      </c>
      <c r="I793">
        <v>1</v>
      </c>
      <c r="J793" s="2" t="s">
        <v>16</v>
      </c>
      <c r="K793">
        <v>1</v>
      </c>
      <c r="L793" s="2" t="s">
        <v>24</v>
      </c>
      <c r="M793">
        <v>1</v>
      </c>
      <c r="N793" s="2" t="s">
        <v>37</v>
      </c>
      <c r="O793">
        <v>1</v>
      </c>
    </row>
    <row r="794" spans="1:15" x14ac:dyDescent="0.35">
      <c r="A794" s="2" t="s">
        <v>168</v>
      </c>
      <c r="B794" s="2" t="s">
        <v>56</v>
      </c>
      <c r="C794" s="2" t="s">
        <v>50</v>
      </c>
      <c r="D794" s="2" t="s">
        <v>231</v>
      </c>
      <c r="E794">
        <v>2014</v>
      </c>
      <c r="F794" s="2" t="s">
        <v>4</v>
      </c>
      <c r="G794">
        <v>1</v>
      </c>
      <c r="H794" s="2" t="s">
        <v>7</v>
      </c>
      <c r="I794">
        <v>1</v>
      </c>
      <c r="J794" s="2" t="s">
        <v>16</v>
      </c>
      <c r="K794">
        <v>1</v>
      </c>
      <c r="L794" s="2" t="s">
        <v>24</v>
      </c>
      <c r="M794">
        <v>1</v>
      </c>
      <c r="N794" s="2" t="s">
        <v>38</v>
      </c>
      <c r="O794">
        <v>1</v>
      </c>
    </row>
    <row r="795" spans="1:15" x14ac:dyDescent="0.35">
      <c r="A795" s="2" t="s">
        <v>168</v>
      </c>
      <c r="B795" s="2" t="s">
        <v>56</v>
      </c>
      <c r="C795" s="2" t="s">
        <v>50</v>
      </c>
      <c r="D795" s="2" t="s">
        <v>231</v>
      </c>
      <c r="E795">
        <v>2014</v>
      </c>
      <c r="F795" s="2" t="s">
        <v>4</v>
      </c>
      <c r="G795">
        <v>1</v>
      </c>
      <c r="H795" s="2" t="s">
        <v>7</v>
      </c>
      <c r="I795">
        <v>1</v>
      </c>
      <c r="J795" s="2" t="s">
        <v>16</v>
      </c>
      <c r="K795">
        <v>1</v>
      </c>
      <c r="L795" s="2" t="s">
        <v>24</v>
      </c>
      <c r="M795">
        <v>1</v>
      </c>
      <c r="N795" s="2" t="s">
        <v>40</v>
      </c>
      <c r="O795">
        <v>1</v>
      </c>
    </row>
    <row r="796" spans="1:15" x14ac:dyDescent="0.35">
      <c r="A796" s="2" t="s">
        <v>168</v>
      </c>
      <c r="B796" s="2" t="s">
        <v>56</v>
      </c>
      <c r="C796" s="2" t="s">
        <v>50</v>
      </c>
      <c r="D796" s="2" t="s">
        <v>231</v>
      </c>
      <c r="E796">
        <v>2014</v>
      </c>
      <c r="F796" s="2" t="s">
        <v>4</v>
      </c>
      <c r="G796">
        <v>1</v>
      </c>
      <c r="H796" s="2" t="s">
        <v>7</v>
      </c>
      <c r="I796">
        <v>1</v>
      </c>
      <c r="J796" s="2" t="s">
        <v>16</v>
      </c>
      <c r="K796">
        <v>1</v>
      </c>
      <c r="L796" s="2" t="s">
        <v>24</v>
      </c>
      <c r="M796">
        <v>1</v>
      </c>
      <c r="N796" s="2" t="s">
        <v>41</v>
      </c>
      <c r="O796">
        <v>1</v>
      </c>
    </row>
    <row r="797" spans="1:15" x14ac:dyDescent="0.35">
      <c r="A797" s="2" t="s">
        <v>168</v>
      </c>
      <c r="B797" s="2" t="s">
        <v>56</v>
      </c>
      <c r="C797" s="2" t="s">
        <v>50</v>
      </c>
      <c r="D797" s="2" t="s">
        <v>231</v>
      </c>
      <c r="E797">
        <v>2014</v>
      </c>
      <c r="F797" s="2" t="s">
        <v>4</v>
      </c>
      <c r="G797">
        <v>1</v>
      </c>
      <c r="H797" s="2" t="s">
        <v>7</v>
      </c>
      <c r="I797">
        <v>1</v>
      </c>
      <c r="J797" s="2" t="s">
        <v>16</v>
      </c>
      <c r="K797">
        <v>1</v>
      </c>
      <c r="L797" s="2" t="s">
        <v>24</v>
      </c>
      <c r="M797">
        <v>1</v>
      </c>
      <c r="N797" s="2" t="s">
        <v>46</v>
      </c>
      <c r="O797">
        <v>1</v>
      </c>
    </row>
    <row r="798" spans="1:15" x14ac:dyDescent="0.35">
      <c r="A798" s="2" t="s">
        <v>168</v>
      </c>
      <c r="B798" s="2" t="s">
        <v>56</v>
      </c>
      <c r="C798" s="2" t="s">
        <v>50</v>
      </c>
      <c r="D798" s="2" t="s">
        <v>231</v>
      </c>
      <c r="E798">
        <v>2014</v>
      </c>
      <c r="F798" s="2" t="s">
        <v>4</v>
      </c>
      <c r="G798">
        <v>1</v>
      </c>
      <c r="H798" s="2" t="s">
        <v>7</v>
      </c>
      <c r="I798">
        <v>1</v>
      </c>
      <c r="J798" s="2" t="s">
        <v>17</v>
      </c>
      <c r="K798">
        <v>1</v>
      </c>
      <c r="L798" s="2" t="s">
        <v>24</v>
      </c>
      <c r="M798">
        <v>1</v>
      </c>
      <c r="N798" s="2" t="s">
        <v>32</v>
      </c>
      <c r="O798">
        <v>1</v>
      </c>
    </row>
    <row r="799" spans="1:15" x14ac:dyDescent="0.35">
      <c r="A799" s="2" t="s">
        <v>168</v>
      </c>
      <c r="B799" s="2" t="s">
        <v>56</v>
      </c>
      <c r="C799" s="2" t="s">
        <v>50</v>
      </c>
      <c r="D799" s="2" t="s">
        <v>231</v>
      </c>
      <c r="E799">
        <v>2014</v>
      </c>
      <c r="F799" s="2" t="s">
        <v>4</v>
      </c>
      <c r="G799">
        <v>1</v>
      </c>
      <c r="H799" s="2" t="s">
        <v>7</v>
      </c>
      <c r="I799">
        <v>1</v>
      </c>
      <c r="J799" s="2" t="s">
        <v>17</v>
      </c>
      <c r="K799">
        <v>1</v>
      </c>
      <c r="L799" s="2" t="s">
        <v>24</v>
      </c>
      <c r="M799">
        <v>1</v>
      </c>
      <c r="N799" s="2" t="s">
        <v>35</v>
      </c>
      <c r="O799">
        <v>1</v>
      </c>
    </row>
    <row r="800" spans="1:15" x14ac:dyDescent="0.35">
      <c r="A800" s="2" t="s">
        <v>168</v>
      </c>
      <c r="B800" s="2" t="s">
        <v>56</v>
      </c>
      <c r="C800" s="2" t="s">
        <v>50</v>
      </c>
      <c r="D800" s="2" t="s">
        <v>231</v>
      </c>
      <c r="E800">
        <v>2014</v>
      </c>
      <c r="F800" s="2" t="s">
        <v>4</v>
      </c>
      <c r="G800">
        <v>1</v>
      </c>
      <c r="H800" s="2" t="s">
        <v>7</v>
      </c>
      <c r="I800">
        <v>1</v>
      </c>
      <c r="J800" s="2" t="s">
        <v>17</v>
      </c>
      <c r="K800">
        <v>1</v>
      </c>
      <c r="L800" s="2" t="s">
        <v>24</v>
      </c>
      <c r="M800">
        <v>1</v>
      </c>
      <c r="N800" s="2" t="s">
        <v>37</v>
      </c>
      <c r="O800">
        <v>1</v>
      </c>
    </row>
    <row r="801" spans="1:15" x14ac:dyDescent="0.35">
      <c r="A801" s="2" t="s">
        <v>168</v>
      </c>
      <c r="B801" s="2" t="s">
        <v>56</v>
      </c>
      <c r="C801" s="2" t="s">
        <v>50</v>
      </c>
      <c r="D801" s="2" t="s">
        <v>231</v>
      </c>
      <c r="E801">
        <v>2014</v>
      </c>
      <c r="F801" s="2" t="s">
        <v>4</v>
      </c>
      <c r="G801">
        <v>1</v>
      </c>
      <c r="H801" s="2" t="s">
        <v>7</v>
      </c>
      <c r="I801">
        <v>1</v>
      </c>
      <c r="J801" s="2" t="s">
        <v>17</v>
      </c>
      <c r="K801">
        <v>1</v>
      </c>
      <c r="L801" s="2" t="s">
        <v>24</v>
      </c>
      <c r="M801">
        <v>1</v>
      </c>
      <c r="N801" s="2" t="s">
        <v>38</v>
      </c>
      <c r="O801">
        <v>1</v>
      </c>
    </row>
    <row r="802" spans="1:15" x14ac:dyDescent="0.35">
      <c r="A802" s="2" t="s">
        <v>168</v>
      </c>
      <c r="B802" s="2" t="s">
        <v>56</v>
      </c>
      <c r="C802" s="2" t="s">
        <v>50</v>
      </c>
      <c r="D802" s="2" t="s">
        <v>231</v>
      </c>
      <c r="E802">
        <v>2014</v>
      </c>
      <c r="F802" s="2" t="s">
        <v>4</v>
      </c>
      <c r="G802">
        <v>1</v>
      </c>
      <c r="H802" s="2" t="s">
        <v>7</v>
      </c>
      <c r="I802">
        <v>1</v>
      </c>
      <c r="J802" s="2" t="s">
        <v>17</v>
      </c>
      <c r="K802">
        <v>1</v>
      </c>
      <c r="L802" s="2" t="s">
        <v>24</v>
      </c>
      <c r="M802">
        <v>1</v>
      </c>
      <c r="N802" s="2" t="s">
        <v>40</v>
      </c>
      <c r="O802">
        <v>1</v>
      </c>
    </row>
    <row r="803" spans="1:15" x14ac:dyDescent="0.35">
      <c r="A803" s="2" t="s">
        <v>168</v>
      </c>
      <c r="B803" s="2" t="s">
        <v>56</v>
      </c>
      <c r="C803" s="2" t="s">
        <v>50</v>
      </c>
      <c r="D803" s="2" t="s">
        <v>231</v>
      </c>
      <c r="E803">
        <v>2014</v>
      </c>
      <c r="F803" s="2" t="s">
        <v>4</v>
      </c>
      <c r="G803">
        <v>1</v>
      </c>
      <c r="H803" s="2" t="s">
        <v>7</v>
      </c>
      <c r="I803">
        <v>1</v>
      </c>
      <c r="J803" s="2" t="s">
        <v>17</v>
      </c>
      <c r="K803">
        <v>1</v>
      </c>
      <c r="L803" s="2" t="s">
        <v>24</v>
      </c>
      <c r="M803">
        <v>1</v>
      </c>
      <c r="N803" s="2" t="s">
        <v>41</v>
      </c>
      <c r="O803">
        <v>1</v>
      </c>
    </row>
    <row r="804" spans="1:15" x14ac:dyDescent="0.35">
      <c r="A804" s="2" t="s">
        <v>168</v>
      </c>
      <c r="B804" s="2" t="s">
        <v>56</v>
      </c>
      <c r="C804" s="2" t="s">
        <v>50</v>
      </c>
      <c r="D804" s="2" t="s">
        <v>231</v>
      </c>
      <c r="E804">
        <v>2014</v>
      </c>
      <c r="F804" s="2" t="s">
        <v>4</v>
      </c>
      <c r="G804">
        <v>1</v>
      </c>
      <c r="H804" s="2" t="s">
        <v>7</v>
      </c>
      <c r="I804">
        <v>1</v>
      </c>
      <c r="J804" s="2" t="s">
        <v>17</v>
      </c>
      <c r="K804">
        <v>1</v>
      </c>
      <c r="L804" s="2" t="s">
        <v>24</v>
      </c>
      <c r="M804">
        <v>1</v>
      </c>
      <c r="N804" s="2" t="s">
        <v>46</v>
      </c>
      <c r="O804">
        <v>1</v>
      </c>
    </row>
    <row r="805" spans="1:15" x14ac:dyDescent="0.35">
      <c r="A805" s="2" t="s">
        <v>183</v>
      </c>
      <c r="B805" s="2" t="s">
        <v>56</v>
      </c>
      <c r="C805" s="2" t="s">
        <v>50</v>
      </c>
      <c r="D805" s="2" t="s">
        <v>231</v>
      </c>
      <c r="E805">
        <v>2012</v>
      </c>
      <c r="F805" s="2" t="s">
        <v>4</v>
      </c>
      <c r="G805">
        <v>1</v>
      </c>
      <c r="H805" s="2" t="s">
        <v>7</v>
      </c>
      <c r="I805">
        <v>1</v>
      </c>
      <c r="J805" s="2" t="s">
        <v>16</v>
      </c>
      <c r="K805">
        <v>1</v>
      </c>
      <c r="L805" s="2" t="s">
        <v>24</v>
      </c>
      <c r="M805">
        <v>1</v>
      </c>
      <c r="N805" s="2" t="s">
        <v>37</v>
      </c>
      <c r="O805">
        <v>1</v>
      </c>
    </row>
    <row r="806" spans="1:15" x14ac:dyDescent="0.35">
      <c r="A806" s="2" t="s">
        <v>183</v>
      </c>
      <c r="B806" s="2" t="s">
        <v>56</v>
      </c>
      <c r="C806" s="2" t="s">
        <v>50</v>
      </c>
      <c r="D806" s="2" t="s">
        <v>231</v>
      </c>
      <c r="E806">
        <v>2012</v>
      </c>
      <c r="F806" s="2" t="s">
        <v>4</v>
      </c>
      <c r="G806">
        <v>1</v>
      </c>
      <c r="H806" s="2" t="s">
        <v>7</v>
      </c>
      <c r="I806">
        <v>1</v>
      </c>
      <c r="J806" s="2" t="s">
        <v>16</v>
      </c>
      <c r="K806">
        <v>1</v>
      </c>
      <c r="L806" s="2" t="s">
        <v>24</v>
      </c>
      <c r="M806">
        <v>1</v>
      </c>
      <c r="N806" s="2" t="s">
        <v>38</v>
      </c>
      <c r="O806">
        <v>1</v>
      </c>
    </row>
    <row r="807" spans="1:15" x14ac:dyDescent="0.35">
      <c r="A807" s="2" t="s">
        <v>183</v>
      </c>
      <c r="B807" s="2" t="s">
        <v>56</v>
      </c>
      <c r="C807" s="2" t="s">
        <v>50</v>
      </c>
      <c r="D807" s="2" t="s">
        <v>231</v>
      </c>
      <c r="E807">
        <v>2012</v>
      </c>
      <c r="F807" s="2" t="s">
        <v>4</v>
      </c>
      <c r="G807">
        <v>1</v>
      </c>
      <c r="H807" s="2" t="s">
        <v>7</v>
      </c>
      <c r="I807">
        <v>1</v>
      </c>
      <c r="J807" s="2" t="s">
        <v>16</v>
      </c>
      <c r="K807">
        <v>1</v>
      </c>
      <c r="L807" s="2" t="s">
        <v>24</v>
      </c>
      <c r="M807">
        <v>1</v>
      </c>
      <c r="N807" s="2" t="s">
        <v>40</v>
      </c>
      <c r="O807">
        <v>1</v>
      </c>
    </row>
    <row r="808" spans="1:15" x14ac:dyDescent="0.35">
      <c r="A808" s="2" t="s">
        <v>183</v>
      </c>
      <c r="B808" s="2" t="s">
        <v>56</v>
      </c>
      <c r="C808" s="2" t="s">
        <v>50</v>
      </c>
      <c r="D808" s="2" t="s">
        <v>231</v>
      </c>
      <c r="E808">
        <v>2012</v>
      </c>
      <c r="F808" s="2" t="s">
        <v>4</v>
      </c>
      <c r="G808">
        <v>1</v>
      </c>
      <c r="H808" s="2" t="s">
        <v>7</v>
      </c>
      <c r="I808">
        <v>1</v>
      </c>
      <c r="J808" s="2" t="s">
        <v>16</v>
      </c>
      <c r="K808">
        <v>1</v>
      </c>
      <c r="L808" s="2" t="s">
        <v>24</v>
      </c>
      <c r="M808">
        <v>1</v>
      </c>
      <c r="N808" s="2" t="s">
        <v>46</v>
      </c>
      <c r="O808">
        <v>1</v>
      </c>
    </row>
    <row r="809" spans="1:15" x14ac:dyDescent="0.35">
      <c r="A809" s="2" t="s">
        <v>183</v>
      </c>
      <c r="B809" s="2" t="s">
        <v>56</v>
      </c>
      <c r="C809" s="2" t="s">
        <v>50</v>
      </c>
      <c r="D809" s="2" t="s">
        <v>231</v>
      </c>
      <c r="E809">
        <v>2012</v>
      </c>
      <c r="F809" s="2" t="s">
        <v>4</v>
      </c>
      <c r="G809">
        <v>1</v>
      </c>
      <c r="H809" s="2" t="s">
        <v>7</v>
      </c>
      <c r="I809">
        <v>1</v>
      </c>
      <c r="J809" s="2" t="s">
        <v>17</v>
      </c>
      <c r="K809">
        <v>1</v>
      </c>
      <c r="L809" s="2" t="s">
        <v>24</v>
      </c>
      <c r="M809">
        <v>1</v>
      </c>
      <c r="N809" s="2" t="s">
        <v>37</v>
      </c>
      <c r="O809">
        <v>1</v>
      </c>
    </row>
    <row r="810" spans="1:15" x14ac:dyDescent="0.35">
      <c r="A810" s="2" t="s">
        <v>183</v>
      </c>
      <c r="B810" s="2" t="s">
        <v>56</v>
      </c>
      <c r="C810" s="2" t="s">
        <v>50</v>
      </c>
      <c r="D810" s="2" t="s">
        <v>231</v>
      </c>
      <c r="E810">
        <v>2012</v>
      </c>
      <c r="F810" s="2" t="s">
        <v>4</v>
      </c>
      <c r="G810">
        <v>1</v>
      </c>
      <c r="H810" s="2" t="s">
        <v>7</v>
      </c>
      <c r="I810">
        <v>1</v>
      </c>
      <c r="J810" s="2" t="s">
        <v>17</v>
      </c>
      <c r="K810">
        <v>1</v>
      </c>
      <c r="L810" s="2" t="s">
        <v>24</v>
      </c>
      <c r="M810">
        <v>1</v>
      </c>
      <c r="N810" s="2" t="s">
        <v>38</v>
      </c>
      <c r="O810">
        <v>1</v>
      </c>
    </row>
    <row r="811" spans="1:15" x14ac:dyDescent="0.35">
      <c r="A811" s="2" t="s">
        <v>183</v>
      </c>
      <c r="B811" s="2" t="s">
        <v>56</v>
      </c>
      <c r="C811" s="2" t="s">
        <v>50</v>
      </c>
      <c r="D811" s="2" t="s">
        <v>231</v>
      </c>
      <c r="E811">
        <v>2012</v>
      </c>
      <c r="F811" s="2" t="s">
        <v>4</v>
      </c>
      <c r="G811">
        <v>1</v>
      </c>
      <c r="H811" s="2" t="s">
        <v>7</v>
      </c>
      <c r="I811">
        <v>1</v>
      </c>
      <c r="J811" s="2" t="s">
        <v>17</v>
      </c>
      <c r="K811">
        <v>1</v>
      </c>
      <c r="L811" s="2" t="s">
        <v>24</v>
      </c>
      <c r="M811">
        <v>1</v>
      </c>
      <c r="N811" s="2" t="s">
        <v>40</v>
      </c>
      <c r="O811">
        <v>1</v>
      </c>
    </row>
    <row r="812" spans="1:15" x14ac:dyDescent="0.35">
      <c r="A812" s="2" t="s">
        <v>183</v>
      </c>
      <c r="B812" s="2" t="s">
        <v>56</v>
      </c>
      <c r="C812" s="2" t="s">
        <v>50</v>
      </c>
      <c r="D812" s="2" t="s">
        <v>231</v>
      </c>
      <c r="E812">
        <v>2012</v>
      </c>
      <c r="F812" s="2" t="s">
        <v>4</v>
      </c>
      <c r="G812">
        <v>1</v>
      </c>
      <c r="H812" s="2" t="s">
        <v>7</v>
      </c>
      <c r="I812">
        <v>1</v>
      </c>
      <c r="J812" s="2" t="s">
        <v>17</v>
      </c>
      <c r="K812">
        <v>1</v>
      </c>
      <c r="L812" s="2" t="s">
        <v>24</v>
      </c>
      <c r="M812">
        <v>1</v>
      </c>
      <c r="N812" s="2" t="s">
        <v>46</v>
      </c>
      <c r="O812">
        <v>1</v>
      </c>
    </row>
    <row r="813" spans="1:15" x14ac:dyDescent="0.35">
      <c r="A813" s="2" t="s">
        <v>191</v>
      </c>
      <c r="B813" s="2" t="s">
        <v>49</v>
      </c>
      <c r="C813" s="2" t="s">
        <v>50</v>
      </c>
      <c r="D813" s="2" t="s">
        <v>231</v>
      </c>
      <c r="E813">
        <v>2021</v>
      </c>
      <c r="F813" s="2" t="s">
        <v>4</v>
      </c>
      <c r="G813">
        <v>1</v>
      </c>
      <c r="H813" s="2" t="s">
        <v>10</v>
      </c>
      <c r="I813">
        <v>1</v>
      </c>
      <c r="J813" s="2" t="s">
        <v>15</v>
      </c>
      <c r="K813">
        <v>1</v>
      </c>
      <c r="L813" s="2" t="s">
        <v>24</v>
      </c>
      <c r="M813">
        <v>1</v>
      </c>
      <c r="N813" s="2" t="s">
        <v>37</v>
      </c>
      <c r="O813">
        <v>1</v>
      </c>
    </row>
    <row r="814" spans="1:15" x14ac:dyDescent="0.35">
      <c r="A814" s="2" t="s">
        <v>191</v>
      </c>
      <c r="B814" s="2" t="s">
        <v>49</v>
      </c>
      <c r="C814" s="2" t="s">
        <v>50</v>
      </c>
      <c r="D814" s="2" t="s">
        <v>231</v>
      </c>
      <c r="E814">
        <v>2021</v>
      </c>
      <c r="F814" s="2" t="s">
        <v>4</v>
      </c>
      <c r="G814">
        <v>1</v>
      </c>
      <c r="H814" s="2" t="s">
        <v>10</v>
      </c>
      <c r="I814">
        <v>1</v>
      </c>
      <c r="J814" s="2" t="s">
        <v>15</v>
      </c>
      <c r="K814">
        <v>1</v>
      </c>
      <c r="L814" s="2" t="s">
        <v>24</v>
      </c>
      <c r="M814">
        <v>1</v>
      </c>
      <c r="N814" s="2" t="s">
        <v>38</v>
      </c>
      <c r="O814">
        <v>1</v>
      </c>
    </row>
    <row r="815" spans="1:15" x14ac:dyDescent="0.35">
      <c r="A815" s="2" t="s">
        <v>191</v>
      </c>
      <c r="B815" s="2" t="s">
        <v>49</v>
      </c>
      <c r="C815" s="2" t="s">
        <v>50</v>
      </c>
      <c r="D815" s="2" t="s">
        <v>231</v>
      </c>
      <c r="E815">
        <v>2021</v>
      </c>
      <c r="F815" s="2" t="s">
        <v>4</v>
      </c>
      <c r="G815">
        <v>1</v>
      </c>
      <c r="H815" s="2" t="s">
        <v>10</v>
      </c>
      <c r="I815">
        <v>1</v>
      </c>
      <c r="J815" s="2" t="s">
        <v>15</v>
      </c>
      <c r="K815">
        <v>1</v>
      </c>
      <c r="L815" s="2" t="s">
        <v>24</v>
      </c>
      <c r="M815">
        <v>1</v>
      </c>
      <c r="N815" s="2" t="s">
        <v>44</v>
      </c>
      <c r="O815">
        <v>1</v>
      </c>
    </row>
    <row r="816" spans="1:15" x14ac:dyDescent="0.35">
      <c r="A816" s="2" t="s">
        <v>191</v>
      </c>
      <c r="B816" s="2" t="s">
        <v>49</v>
      </c>
      <c r="C816" s="2" t="s">
        <v>50</v>
      </c>
      <c r="D816" s="2" t="s">
        <v>231</v>
      </c>
      <c r="E816">
        <v>2021</v>
      </c>
      <c r="F816" s="2" t="s">
        <v>4</v>
      </c>
      <c r="G816">
        <v>1</v>
      </c>
      <c r="H816" s="2" t="s">
        <v>10</v>
      </c>
      <c r="I816">
        <v>1</v>
      </c>
      <c r="J816" s="2" t="s">
        <v>15</v>
      </c>
      <c r="K816">
        <v>1</v>
      </c>
      <c r="L816" s="2" t="s">
        <v>24</v>
      </c>
      <c r="M816">
        <v>1</v>
      </c>
      <c r="N816" s="2" t="s">
        <v>46</v>
      </c>
      <c r="O816">
        <v>1</v>
      </c>
    </row>
    <row r="817" spans="1:15" x14ac:dyDescent="0.35">
      <c r="A817" s="2" t="s">
        <v>83</v>
      </c>
      <c r="B817" s="2" t="s">
        <v>49</v>
      </c>
      <c r="C817" s="2" t="s">
        <v>50</v>
      </c>
      <c r="D817" s="2" t="s">
        <v>230</v>
      </c>
      <c r="E817">
        <v>2021</v>
      </c>
      <c r="F817" s="2" t="s">
        <v>6</v>
      </c>
      <c r="G817">
        <v>1</v>
      </c>
      <c r="H817" s="2" t="s">
        <v>10</v>
      </c>
      <c r="I817">
        <v>1</v>
      </c>
      <c r="J817" s="2" t="s">
        <v>14</v>
      </c>
      <c r="K817">
        <v>1</v>
      </c>
      <c r="L817" s="2" t="s">
        <v>20</v>
      </c>
      <c r="M817">
        <v>1</v>
      </c>
      <c r="N817" s="2" t="s">
        <v>26</v>
      </c>
      <c r="O817">
        <v>1</v>
      </c>
    </row>
    <row r="818" spans="1:15" x14ac:dyDescent="0.35">
      <c r="A818" s="2" t="s">
        <v>83</v>
      </c>
      <c r="B818" s="2" t="s">
        <v>49</v>
      </c>
      <c r="C818" s="2" t="s">
        <v>50</v>
      </c>
      <c r="D818" s="2" t="s">
        <v>230</v>
      </c>
      <c r="E818">
        <v>2021</v>
      </c>
      <c r="F818" s="2" t="s">
        <v>6</v>
      </c>
      <c r="G818">
        <v>1</v>
      </c>
      <c r="H818" s="2" t="s">
        <v>10</v>
      </c>
      <c r="I818">
        <v>1</v>
      </c>
      <c r="J818" s="2" t="s">
        <v>14</v>
      </c>
      <c r="K818">
        <v>1</v>
      </c>
      <c r="L818" s="2" t="s">
        <v>22</v>
      </c>
      <c r="M818">
        <v>1</v>
      </c>
      <c r="N818" s="2" t="s">
        <v>26</v>
      </c>
      <c r="O818">
        <v>1</v>
      </c>
    </row>
    <row r="819" spans="1:15" x14ac:dyDescent="0.35">
      <c r="A819" s="2" t="s">
        <v>83</v>
      </c>
      <c r="B819" s="2" t="s">
        <v>49</v>
      </c>
      <c r="C819" s="2" t="s">
        <v>50</v>
      </c>
      <c r="D819" s="2" t="s">
        <v>230</v>
      </c>
      <c r="E819">
        <v>2021</v>
      </c>
      <c r="F819" s="2" t="s">
        <v>6</v>
      </c>
      <c r="G819">
        <v>1</v>
      </c>
      <c r="H819" s="2" t="s">
        <v>10</v>
      </c>
      <c r="I819">
        <v>1</v>
      </c>
      <c r="J819" s="2" t="s">
        <v>15</v>
      </c>
      <c r="K819">
        <v>1</v>
      </c>
      <c r="L819" s="2" t="s">
        <v>20</v>
      </c>
      <c r="M819">
        <v>1</v>
      </c>
      <c r="N819" s="2" t="s">
        <v>26</v>
      </c>
      <c r="O819">
        <v>1</v>
      </c>
    </row>
    <row r="820" spans="1:15" x14ac:dyDescent="0.35">
      <c r="A820" s="2" t="s">
        <v>83</v>
      </c>
      <c r="B820" s="2" t="s">
        <v>49</v>
      </c>
      <c r="C820" s="2" t="s">
        <v>50</v>
      </c>
      <c r="D820" s="2" t="s">
        <v>230</v>
      </c>
      <c r="E820">
        <v>2021</v>
      </c>
      <c r="F820" s="2" t="s">
        <v>6</v>
      </c>
      <c r="G820">
        <v>1</v>
      </c>
      <c r="H820" s="2" t="s">
        <v>10</v>
      </c>
      <c r="I820">
        <v>1</v>
      </c>
      <c r="J820" s="2" t="s">
        <v>15</v>
      </c>
      <c r="K820">
        <v>1</v>
      </c>
      <c r="L820" s="2" t="s">
        <v>22</v>
      </c>
      <c r="M820">
        <v>1</v>
      </c>
      <c r="N820" s="2" t="s">
        <v>26</v>
      </c>
      <c r="O820">
        <v>1</v>
      </c>
    </row>
    <row r="821" spans="1:15" x14ac:dyDescent="0.35">
      <c r="A821" s="2" t="s">
        <v>83</v>
      </c>
      <c r="B821" s="2" t="s">
        <v>49</v>
      </c>
      <c r="C821" s="2" t="s">
        <v>50</v>
      </c>
      <c r="D821" s="2" t="s">
        <v>230</v>
      </c>
      <c r="E821">
        <v>2021</v>
      </c>
      <c r="F821" s="2" t="s">
        <v>6</v>
      </c>
      <c r="G821">
        <v>1</v>
      </c>
      <c r="H821" s="2" t="s">
        <v>10</v>
      </c>
      <c r="I821">
        <v>1</v>
      </c>
      <c r="J821" s="2" t="s">
        <v>17</v>
      </c>
      <c r="K821">
        <v>1</v>
      </c>
      <c r="L821" s="2" t="s">
        <v>20</v>
      </c>
      <c r="M821">
        <v>1</v>
      </c>
      <c r="N821" s="2" t="s">
        <v>26</v>
      </c>
      <c r="O821">
        <v>1</v>
      </c>
    </row>
    <row r="822" spans="1:15" x14ac:dyDescent="0.35">
      <c r="A822" s="2" t="s">
        <v>83</v>
      </c>
      <c r="B822" s="2" t="s">
        <v>49</v>
      </c>
      <c r="C822" s="2" t="s">
        <v>50</v>
      </c>
      <c r="D822" s="2" t="s">
        <v>230</v>
      </c>
      <c r="E822">
        <v>2021</v>
      </c>
      <c r="F822" s="2" t="s">
        <v>6</v>
      </c>
      <c r="G822">
        <v>1</v>
      </c>
      <c r="H822" s="2" t="s">
        <v>10</v>
      </c>
      <c r="I822">
        <v>1</v>
      </c>
      <c r="J822" s="2" t="s">
        <v>17</v>
      </c>
      <c r="K822">
        <v>1</v>
      </c>
      <c r="L822" s="2" t="s">
        <v>22</v>
      </c>
      <c r="M822">
        <v>1</v>
      </c>
      <c r="N822" s="2" t="s">
        <v>26</v>
      </c>
      <c r="O822">
        <v>1</v>
      </c>
    </row>
    <row r="823" spans="1:15" x14ac:dyDescent="0.35">
      <c r="A823" s="2" t="s">
        <v>89</v>
      </c>
      <c r="B823" s="2" t="s">
        <v>49</v>
      </c>
      <c r="C823" s="2" t="s">
        <v>50</v>
      </c>
      <c r="D823" s="2" t="s">
        <v>230</v>
      </c>
      <c r="E823">
        <v>2021</v>
      </c>
      <c r="F823" s="2" t="s">
        <v>6</v>
      </c>
      <c r="G823">
        <v>1</v>
      </c>
      <c r="H823" s="2" t="s">
        <v>9</v>
      </c>
      <c r="I823">
        <v>1</v>
      </c>
      <c r="J823" s="2" t="s">
        <v>15</v>
      </c>
      <c r="K823">
        <v>1</v>
      </c>
      <c r="L823" s="2" t="s">
        <v>22</v>
      </c>
      <c r="M823">
        <v>1</v>
      </c>
      <c r="N823" s="2" t="s">
        <v>43</v>
      </c>
      <c r="O823">
        <v>1</v>
      </c>
    </row>
    <row r="824" spans="1:15" x14ac:dyDescent="0.35">
      <c r="A824" s="2" t="s">
        <v>89</v>
      </c>
      <c r="B824" s="2" t="s">
        <v>49</v>
      </c>
      <c r="C824" s="2" t="s">
        <v>50</v>
      </c>
      <c r="D824" s="2" t="s">
        <v>230</v>
      </c>
      <c r="E824">
        <v>2021</v>
      </c>
      <c r="F824" s="2" t="s">
        <v>6</v>
      </c>
      <c r="G824">
        <v>1</v>
      </c>
      <c r="H824" s="2" t="s">
        <v>12</v>
      </c>
      <c r="I824">
        <v>1</v>
      </c>
      <c r="J824" s="2" t="s">
        <v>15</v>
      </c>
      <c r="K824">
        <v>1</v>
      </c>
      <c r="L824" s="2" t="s">
        <v>22</v>
      </c>
      <c r="M824">
        <v>1</v>
      </c>
      <c r="N824" s="2" t="s">
        <v>43</v>
      </c>
      <c r="O824">
        <v>1</v>
      </c>
    </row>
    <row r="825" spans="1:15" x14ac:dyDescent="0.35">
      <c r="A825" s="2" t="s">
        <v>94</v>
      </c>
      <c r="B825" s="2" t="s">
        <v>56</v>
      </c>
      <c r="C825" s="2" t="s">
        <v>50</v>
      </c>
      <c r="D825" s="2" t="s">
        <v>230</v>
      </c>
      <c r="E825">
        <v>2011</v>
      </c>
      <c r="F825" s="2" t="s">
        <v>2</v>
      </c>
      <c r="G825">
        <v>1</v>
      </c>
      <c r="H825" s="2" t="s">
        <v>7</v>
      </c>
      <c r="I825">
        <v>1</v>
      </c>
      <c r="J825" s="2" t="s">
        <v>14</v>
      </c>
      <c r="K825">
        <v>1</v>
      </c>
      <c r="L825" s="2" t="s">
        <v>22</v>
      </c>
      <c r="M825">
        <v>1</v>
      </c>
      <c r="N825" s="2" t="s">
        <v>31</v>
      </c>
      <c r="O825">
        <v>1</v>
      </c>
    </row>
    <row r="826" spans="1:15" x14ac:dyDescent="0.35">
      <c r="A826" s="2" t="s">
        <v>94</v>
      </c>
      <c r="B826" s="2" t="s">
        <v>56</v>
      </c>
      <c r="C826" s="2" t="s">
        <v>50</v>
      </c>
      <c r="D826" s="2" t="s">
        <v>230</v>
      </c>
      <c r="E826">
        <v>2011</v>
      </c>
      <c r="F826" s="2" t="s">
        <v>2</v>
      </c>
      <c r="G826">
        <v>1</v>
      </c>
      <c r="H826" s="2" t="s">
        <v>7</v>
      </c>
      <c r="I826">
        <v>1</v>
      </c>
      <c r="J826" s="2" t="s">
        <v>14</v>
      </c>
      <c r="K826">
        <v>1</v>
      </c>
      <c r="L826" s="2" t="s">
        <v>22</v>
      </c>
      <c r="M826">
        <v>1</v>
      </c>
      <c r="N826" s="2" t="s">
        <v>44</v>
      </c>
      <c r="O826">
        <v>1</v>
      </c>
    </row>
    <row r="827" spans="1:15" x14ac:dyDescent="0.35">
      <c r="A827" s="2" t="s">
        <v>98</v>
      </c>
      <c r="B827" s="2" t="s">
        <v>56</v>
      </c>
      <c r="C827" s="2" t="s">
        <v>50</v>
      </c>
      <c r="D827" s="2" t="s">
        <v>232</v>
      </c>
      <c r="E827">
        <v>2018</v>
      </c>
      <c r="F827" s="2" t="s">
        <v>6</v>
      </c>
      <c r="G827">
        <v>1</v>
      </c>
      <c r="H827" s="2" t="s">
        <v>7</v>
      </c>
      <c r="I827">
        <v>1</v>
      </c>
      <c r="J827" s="2" t="s">
        <v>14</v>
      </c>
      <c r="K827">
        <v>1</v>
      </c>
      <c r="L827" s="2" t="s">
        <v>22</v>
      </c>
      <c r="M827">
        <v>1</v>
      </c>
      <c r="N827" s="2" t="s">
        <v>37</v>
      </c>
      <c r="O827">
        <v>1</v>
      </c>
    </row>
    <row r="828" spans="1:15" x14ac:dyDescent="0.35">
      <c r="A828" s="2" t="s">
        <v>98</v>
      </c>
      <c r="B828" s="2" t="s">
        <v>56</v>
      </c>
      <c r="C828" s="2" t="s">
        <v>50</v>
      </c>
      <c r="D828" s="2" t="s">
        <v>232</v>
      </c>
      <c r="E828">
        <v>2018</v>
      </c>
      <c r="F828" s="2" t="s">
        <v>6</v>
      </c>
      <c r="G828">
        <v>1</v>
      </c>
      <c r="H828" s="2" t="s">
        <v>7</v>
      </c>
      <c r="I828">
        <v>1</v>
      </c>
      <c r="J828" s="2" t="s">
        <v>14</v>
      </c>
      <c r="K828">
        <v>1</v>
      </c>
      <c r="L828" s="2" t="s">
        <v>22</v>
      </c>
      <c r="M828">
        <v>1</v>
      </c>
      <c r="N828" s="2" t="s">
        <v>38</v>
      </c>
      <c r="O828">
        <v>1</v>
      </c>
    </row>
    <row r="829" spans="1:15" x14ac:dyDescent="0.35">
      <c r="A829" s="2" t="s">
        <v>98</v>
      </c>
      <c r="B829" s="2" t="s">
        <v>56</v>
      </c>
      <c r="C829" s="2" t="s">
        <v>50</v>
      </c>
      <c r="D829" s="2" t="s">
        <v>232</v>
      </c>
      <c r="E829">
        <v>2018</v>
      </c>
      <c r="F829" s="2" t="s">
        <v>6</v>
      </c>
      <c r="G829">
        <v>1</v>
      </c>
      <c r="H829" s="2" t="s">
        <v>7</v>
      </c>
      <c r="I829">
        <v>1</v>
      </c>
      <c r="J829" s="2" t="s">
        <v>14</v>
      </c>
      <c r="K829">
        <v>1</v>
      </c>
      <c r="L829" s="2" t="s">
        <v>22</v>
      </c>
      <c r="M829">
        <v>1</v>
      </c>
      <c r="N829" s="2" t="s">
        <v>39</v>
      </c>
      <c r="O829">
        <v>1</v>
      </c>
    </row>
    <row r="830" spans="1:15" x14ac:dyDescent="0.35">
      <c r="A830" s="2" t="s">
        <v>98</v>
      </c>
      <c r="B830" s="2" t="s">
        <v>56</v>
      </c>
      <c r="C830" s="2" t="s">
        <v>50</v>
      </c>
      <c r="D830" s="2" t="s">
        <v>232</v>
      </c>
      <c r="E830">
        <v>2018</v>
      </c>
      <c r="F830" s="2" t="s">
        <v>6</v>
      </c>
      <c r="G830">
        <v>1</v>
      </c>
      <c r="H830" s="2" t="s">
        <v>7</v>
      </c>
      <c r="I830">
        <v>1</v>
      </c>
      <c r="J830" s="2" t="s">
        <v>14</v>
      </c>
      <c r="K830">
        <v>1</v>
      </c>
      <c r="L830" s="2" t="s">
        <v>22</v>
      </c>
      <c r="M830">
        <v>1</v>
      </c>
      <c r="N830" s="2" t="s">
        <v>41</v>
      </c>
      <c r="O830">
        <v>1</v>
      </c>
    </row>
    <row r="831" spans="1:15" x14ac:dyDescent="0.35">
      <c r="A831" s="2" t="s">
        <v>98</v>
      </c>
      <c r="B831" s="2" t="s">
        <v>56</v>
      </c>
      <c r="C831" s="2" t="s">
        <v>50</v>
      </c>
      <c r="D831" s="2" t="s">
        <v>232</v>
      </c>
      <c r="E831">
        <v>2018</v>
      </c>
      <c r="F831" s="2" t="s">
        <v>6</v>
      </c>
      <c r="G831">
        <v>1</v>
      </c>
      <c r="H831" s="2" t="s">
        <v>7</v>
      </c>
      <c r="I831">
        <v>1</v>
      </c>
      <c r="J831" s="2" t="s">
        <v>14</v>
      </c>
      <c r="K831">
        <v>1</v>
      </c>
      <c r="L831" s="2" t="s">
        <v>22</v>
      </c>
      <c r="M831">
        <v>1</v>
      </c>
      <c r="N831" s="2" t="s">
        <v>42</v>
      </c>
      <c r="O831">
        <v>1</v>
      </c>
    </row>
    <row r="832" spans="1:15" x14ac:dyDescent="0.35">
      <c r="A832" s="2" t="s">
        <v>98</v>
      </c>
      <c r="B832" s="2" t="s">
        <v>56</v>
      </c>
      <c r="C832" s="2" t="s">
        <v>50</v>
      </c>
      <c r="D832" s="2" t="s">
        <v>232</v>
      </c>
      <c r="E832">
        <v>2018</v>
      </c>
      <c r="F832" s="2" t="s">
        <v>6</v>
      </c>
      <c r="G832">
        <v>1</v>
      </c>
      <c r="H832" s="2" t="s">
        <v>7</v>
      </c>
      <c r="I832">
        <v>1</v>
      </c>
      <c r="J832" s="2" t="s">
        <v>14</v>
      </c>
      <c r="K832">
        <v>1</v>
      </c>
      <c r="L832" s="2" t="s">
        <v>22</v>
      </c>
      <c r="M832">
        <v>1</v>
      </c>
      <c r="N832" s="2" t="s">
        <v>46</v>
      </c>
      <c r="O832">
        <v>1</v>
      </c>
    </row>
    <row r="833" spans="1:15" x14ac:dyDescent="0.35">
      <c r="A833" s="2" t="s">
        <v>98</v>
      </c>
      <c r="B833" s="2" t="s">
        <v>56</v>
      </c>
      <c r="C833" s="2" t="s">
        <v>50</v>
      </c>
      <c r="D833" s="2" t="s">
        <v>232</v>
      </c>
      <c r="E833">
        <v>2018</v>
      </c>
      <c r="F833" s="2" t="s">
        <v>6</v>
      </c>
      <c r="G833">
        <v>1</v>
      </c>
      <c r="H833" s="2" t="s">
        <v>7</v>
      </c>
      <c r="I833">
        <v>1</v>
      </c>
      <c r="J833" s="2" t="s">
        <v>14</v>
      </c>
      <c r="K833">
        <v>1</v>
      </c>
      <c r="L833" s="2" t="s">
        <v>24</v>
      </c>
      <c r="M833">
        <v>1</v>
      </c>
      <c r="N833" s="2" t="s">
        <v>37</v>
      </c>
      <c r="O833">
        <v>1</v>
      </c>
    </row>
    <row r="834" spans="1:15" x14ac:dyDescent="0.35">
      <c r="A834" s="2" t="s">
        <v>98</v>
      </c>
      <c r="B834" s="2" t="s">
        <v>56</v>
      </c>
      <c r="C834" s="2" t="s">
        <v>50</v>
      </c>
      <c r="D834" s="2" t="s">
        <v>232</v>
      </c>
      <c r="E834">
        <v>2018</v>
      </c>
      <c r="F834" s="2" t="s">
        <v>6</v>
      </c>
      <c r="G834">
        <v>1</v>
      </c>
      <c r="H834" s="2" t="s">
        <v>7</v>
      </c>
      <c r="I834">
        <v>1</v>
      </c>
      <c r="J834" s="2" t="s">
        <v>14</v>
      </c>
      <c r="K834">
        <v>1</v>
      </c>
      <c r="L834" s="2" t="s">
        <v>24</v>
      </c>
      <c r="M834">
        <v>1</v>
      </c>
      <c r="N834" s="2" t="s">
        <v>38</v>
      </c>
      <c r="O834">
        <v>1</v>
      </c>
    </row>
    <row r="835" spans="1:15" x14ac:dyDescent="0.35">
      <c r="A835" s="2" t="s">
        <v>98</v>
      </c>
      <c r="B835" s="2" t="s">
        <v>56</v>
      </c>
      <c r="C835" s="2" t="s">
        <v>50</v>
      </c>
      <c r="D835" s="2" t="s">
        <v>232</v>
      </c>
      <c r="E835">
        <v>2018</v>
      </c>
      <c r="F835" s="2" t="s">
        <v>6</v>
      </c>
      <c r="G835">
        <v>1</v>
      </c>
      <c r="H835" s="2" t="s">
        <v>7</v>
      </c>
      <c r="I835">
        <v>1</v>
      </c>
      <c r="J835" s="2" t="s">
        <v>14</v>
      </c>
      <c r="K835">
        <v>1</v>
      </c>
      <c r="L835" s="2" t="s">
        <v>24</v>
      </c>
      <c r="M835">
        <v>1</v>
      </c>
      <c r="N835" s="2" t="s">
        <v>39</v>
      </c>
      <c r="O835">
        <v>1</v>
      </c>
    </row>
    <row r="836" spans="1:15" x14ac:dyDescent="0.35">
      <c r="A836" s="2" t="s">
        <v>98</v>
      </c>
      <c r="B836" s="2" t="s">
        <v>56</v>
      </c>
      <c r="C836" s="2" t="s">
        <v>50</v>
      </c>
      <c r="D836" s="2" t="s">
        <v>232</v>
      </c>
      <c r="E836">
        <v>2018</v>
      </c>
      <c r="F836" s="2" t="s">
        <v>6</v>
      </c>
      <c r="G836">
        <v>1</v>
      </c>
      <c r="H836" s="2" t="s">
        <v>7</v>
      </c>
      <c r="I836">
        <v>1</v>
      </c>
      <c r="J836" s="2" t="s">
        <v>14</v>
      </c>
      <c r="K836">
        <v>1</v>
      </c>
      <c r="L836" s="2" t="s">
        <v>24</v>
      </c>
      <c r="M836">
        <v>1</v>
      </c>
      <c r="N836" s="2" t="s">
        <v>41</v>
      </c>
      <c r="O836">
        <v>1</v>
      </c>
    </row>
    <row r="837" spans="1:15" x14ac:dyDescent="0.35">
      <c r="A837" s="2" t="s">
        <v>98</v>
      </c>
      <c r="B837" s="2" t="s">
        <v>56</v>
      </c>
      <c r="C837" s="2" t="s">
        <v>50</v>
      </c>
      <c r="D837" s="2" t="s">
        <v>232</v>
      </c>
      <c r="E837">
        <v>2018</v>
      </c>
      <c r="F837" s="2" t="s">
        <v>6</v>
      </c>
      <c r="G837">
        <v>1</v>
      </c>
      <c r="H837" s="2" t="s">
        <v>7</v>
      </c>
      <c r="I837">
        <v>1</v>
      </c>
      <c r="J837" s="2" t="s">
        <v>14</v>
      </c>
      <c r="K837">
        <v>1</v>
      </c>
      <c r="L837" s="2" t="s">
        <v>24</v>
      </c>
      <c r="M837">
        <v>1</v>
      </c>
      <c r="N837" s="2" t="s">
        <v>42</v>
      </c>
      <c r="O837">
        <v>1</v>
      </c>
    </row>
    <row r="838" spans="1:15" x14ac:dyDescent="0.35">
      <c r="A838" s="2" t="s">
        <v>98</v>
      </c>
      <c r="B838" s="2" t="s">
        <v>56</v>
      </c>
      <c r="C838" s="2" t="s">
        <v>50</v>
      </c>
      <c r="D838" s="2" t="s">
        <v>232</v>
      </c>
      <c r="E838">
        <v>2018</v>
      </c>
      <c r="F838" s="2" t="s">
        <v>6</v>
      </c>
      <c r="G838">
        <v>1</v>
      </c>
      <c r="H838" s="2" t="s">
        <v>7</v>
      </c>
      <c r="I838">
        <v>1</v>
      </c>
      <c r="J838" s="2" t="s">
        <v>14</v>
      </c>
      <c r="K838">
        <v>1</v>
      </c>
      <c r="L838" s="2" t="s">
        <v>24</v>
      </c>
      <c r="M838">
        <v>1</v>
      </c>
      <c r="N838" s="2" t="s">
        <v>46</v>
      </c>
      <c r="O838">
        <v>1</v>
      </c>
    </row>
    <row r="839" spans="1:15" x14ac:dyDescent="0.35">
      <c r="A839" s="2" t="s">
        <v>98</v>
      </c>
      <c r="B839" s="2" t="s">
        <v>56</v>
      </c>
      <c r="C839" s="2" t="s">
        <v>50</v>
      </c>
      <c r="D839" s="2" t="s">
        <v>232</v>
      </c>
      <c r="E839">
        <v>2018</v>
      </c>
      <c r="F839" s="2" t="s">
        <v>6</v>
      </c>
      <c r="G839">
        <v>1</v>
      </c>
      <c r="H839" s="2" t="s">
        <v>7</v>
      </c>
      <c r="I839">
        <v>1</v>
      </c>
      <c r="J839" s="2" t="s">
        <v>16</v>
      </c>
      <c r="K839">
        <v>1</v>
      </c>
      <c r="L839" s="2" t="s">
        <v>22</v>
      </c>
      <c r="M839">
        <v>1</v>
      </c>
      <c r="N839" s="2" t="s">
        <v>37</v>
      </c>
      <c r="O839">
        <v>1</v>
      </c>
    </row>
    <row r="840" spans="1:15" x14ac:dyDescent="0.35">
      <c r="A840" s="2" t="s">
        <v>98</v>
      </c>
      <c r="B840" s="2" t="s">
        <v>56</v>
      </c>
      <c r="C840" s="2" t="s">
        <v>50</v>
      </c>
      <c r="D840" s="2" t="s">
        <v>232</v>
      </c>
      <c r="E840">
        <v>2018</v>
      </c>
      <c r="F840" s="2" t="s">
        <v>6</v>
      </c>
      <c r="G840">
        <v>1</v>
      </c>
      <c r="H840" s="2" t="s">
        <v>7</v>
      </c>
      <c r="I840">
        <v>1</v>
      </c>
      <c r="J840" s="2" t="s">
        <v>16</v>
      </c>
      <c r="K840">
        <v>1</v>
      </c>
      <c r="L840" s="2" t="s">
        <v>22</v>
      </c>
      <c r="M840">
        <v>1</v>
      </c>
      <c r="N840" s="2" t="s">
        <v>38</v>
      </c>
      <c r="O840">
        <v>1</v>
      </c>
    </row>
    <row r="841" spans="1:15" x14ac:dyDescent="0.35">
      <c r="A841" s="2" t="s">
        <v>98</v>
      </c>
      <c r="B841" s="2" t="s">
        <v>56</v>
      </c>
      <c r="C841" s="2" t="s">
        <v>50</v>
      </c>
      <c r="D841" s="2" t="s">
        <v>232</v>
      </c>
      <c r="E841">
        <v>2018</v>
      </c>
      <c r="F841" s="2" t="s">
        <v>6</v>
      </c>
      <c r="G841">
        <v>1</v>
      </c>
      <c r="H841" s="2" t="s">
        <v>7</v>
      </c>
      <c r="I841">
        <v>1</v>
      </c>
      <c r="J841" s="2" t="s">
        <v>16</v>
      </c>
      <c r="K841">
        <v>1</v>
      </c>
      <c r="L841" s="2" t="s">
        <v>22</v>
      </c>
      <c r="M841">
        <v>1</v>
      </c>
      <c r="N841" s="2" t="s">
        <v>39</v>
      </c>
      <c r="O841">
        <v>1</v>
      </c>
    </row>
    <row r="842" spans="1:15" x14ac:dyDescent="0.35">
      <c r="A842" s="2" t="s">
        <v>98</v>
      </c>
      <c r="B842" s="2" t="s">
        <v>56</v>
      </c>
      <c r="C842" s="2" t="s">
        <v>50</v>
      </c>
      <c r="D842" s="2" t="s">
        <v>232</v>
      </c>
      <c r="E842">
        <v>2018</v>
      </c>
      <c r="F842" s="2" t="s">
        <v>6</v>
      </c>
      <c r="G842">
        <v>1</v>
      </c>
      <c r="H842" s="2" t="s">
        <v>7</v>
      </c>
      <c r="I842">
        <v>1</v>
      </c>
      <c r="J842" s="2" t="s">
        <v>16</v>
      </c>
      <c r="K842">
        <v>1</v>
      </c>
      <c r="L842" s="2" t="s">
        <v>22</v>
      </c>
      <c r="M842">
        <v>1</v>
      </c>
      <c r="N842" s="2" t="s">
        <v>41</v>
      </c>
      <c r="O842">
        <v>1</v>
      </c>
    </row>
    <row r="843" spans="1:15" x14ac:dyDescent="0.35">
      <c r="A843" s="2" t="s">
        <v>98</v>
      </c>
      <c r="B843" s="2" t="s">
        <v>56</v>
      </c>
      <c r="C843" s="2" t="s">
        <v>50</v>
      </c>
      <c r="D843" s="2" t="s">
        <v>232</v>
      </c>
      <c r="E843">
        <v>2018</v>
      </c>
      <c r="F843" s="2" t="s">
        <v>6</v>
      </c>
      <c r="G843">
        <v>1</v>
      </c>
      <c r="H843" s="2" t="s">
        <v>7</v>
      </c>
      <c r="I843">
        <v>1</v>
      </c>
      <c r="J843" s="2" t="s">
        <v>16</v>
      </c>
      <c r="K843">
        <v>1</v>
      </c>
      <c r="L843" s="2" t="s">
        <v>22</v>
      </c>
      <c r="M843">
        <v>1</v>
      </c>
      <c r="N843" s="2" t="s">
        <v>42</v>
      </c>
      <c r="O843">
        <v>1</v>
      </c>
    </row>
    <row r="844" spans="1:15" x14ac:dyDescent="0.35">
      <c r="A844" s="2" t="s">
        <v>98</v>
      </c>
      <c r="B844" s="2" t="s">
        <v>56</v>
      </c>
      <c r="C844" s="2" t="s">
        <v>50</v>
      </c>
      <c r="D844" s="2" t="s">
        <v>232</v>
      </c>
      <c r="E844">
        <v>2018</v>
      </c>
      <c r="F844" s="2" t="s">
        <v>6</v>
      </c>
      <c r="G844">
        <v>1</v>
      </c>
      <c r="H844" s="2" t="s">
        <v>7</v>
      </c>
      <c r="I844">
        <v>1</v>
      </c>
      <c r="J844" s="2" t="s">
        <v>16</v>
      </c>
      <c r="K844">
        <v>1</v>
      </c>
      <c r="L844" s="2" t="s">
        <v>22</v>
      </c>
      <c r="M844">
        <v>1</v>
      </c>
      <c r="N844" s="2" t="s">
        <v>46</v>
      </c>
      <c r="O844">
        <v>1</v>
      </c>
    </row>
    <row r="845" spans="1:15" x14ac:dyDescent="0.35">
      <c r="A845" s="2" t="s">
        <v>98</v>
      </c>
      <c r="B845" s="2" t="s">
        <v>56</v>
      </c>
      <c r="C845" s="2" t="s">
        <v>50</v>
      </c>
      <c r="D845" s="2" t="s">
        <v>232</v>
      </c>
      <c r="E845">
        <v>2018</v>
      </c>
      <c r="F845" s="2" t="s">
        <v>6</v>
      </c>
      <c r="G845">
        <v>1</v>
      </c>
      <c r="H845" s="2" t="s">
        <v>7</v>
      </c>
      <c r="I845">
        <v>1</v>
      </c>
      <c r="J845" s="2" t="s">
        <v>16</v>
      </c>
      <c r="K845">
        <v>1</v>
      </c>
      <c r="L845" s="2" t="s">
        <v>24</v>
      </c>
      <c r="M845">
        <v>1</v>
      </c>
      <c r="N845" s="2" t="s">
        <v>37</v>
      </c>
      <c r="O845">
        <v>1</v>
      </c>
    </row>
    <row r="846" spans="1:15" x14ac:dyDescent="0.35">
      <c r="A846" s="2" t="s">
        <v>98</v>
      </c>
      <c r="B846" s="2" t="s">
        <v>56</v>
      </c>
      <c r="C846" s="2" t="s">
        <v>50</v>
      </c>
      <c r="D846" s="2" t="s">
        <v>232</v>
      </c>
      <c r="E846">
        <v>2018</v>
      </c>
      <c r="F846" s="2" t="s">
        <v>6</v>
      </c>
      <c r="G846">
        <v>1</v>
      </c>
      <c r="H846" s="2" t="s">
        <v>7</v>
      </c>
      <c r="I846">
        <v>1</v>
      </c>
      <c r="J846" s="2" t="s">
        <v>16</v>
      </c>
      <c r="K846">
        <v>1</v>
      </c>
      <c r="L846" s="2" t="s">
        <v>24</v>
      </c>
      <c r="M846">
        <v>1</v>
      </c>
      <c r="N846" s="2" t="s">
        <v>38</v>
      </c>
      <c r="O846">
        <v>1</v>
      </c>
    </row>
    <row r="847" spans="1:15" x14ac:dyDescent="0.35">
      <c r="A847" s="2" t="s">
        <v>98</v>
      </c>
      <c r="B847" s="2" t="s">
        <v>56</v>
      </c>
      <c r="C847" s="2" t="s">
        <v>50</v>
      </c>
      <c r="D847" s="2" t="s">
        <v>232</v>
      </c>
      <c r="E847">
        <v>2018</v>
      </c>
      <c r="F847" s="2" t="s">
        <v>6</v>
      </c>
      <c r="G847">
        <v>1</v>
      </c>
      <c r="H847" s="2" t="s">
        <v>7</v>
      </c>
      <c r="I847">
        <v>1</v>
      </c>
      <c r="J847" s="2" t="s">
        <v>16</v>
      </c>
      <c r="K847">
        <v>1</v>
      </c>
      <c r="L847" s="2" t="s">
        <v>24</v>
      </c>
      <c r="M847">
        <v>1</v>
      </c>
      <c r="N847" s="2" t="s">
        <v>39</v>
      </c>
      <c r="O847">
        <v>1</v>
      </c>
    </row>
    <row r="848" spans="1:15" x14ac:dyDescent="0.35">
      <c r="A848" s="2" t="s">
        <v>98</v>
      </c>
      <c r="B848" s="2" t="s">
        <v>56</v>
      </c>
      <c r="C848" s="2" t="s">
        <v>50</v>
      </c>
      <c r="D848" s="2" t="s">
        <v>232</v>
      </c>
      <c r="E848">
        <v>2018</v>
      </c>
      <c r="F848" s="2" t="s">
        <v>6</v>
      </c>
      <c r="G848">
        <v>1</v>
      </c>
      <c r="H848" s="2" t="s">
        <v>7</v>
      </c>
      <c r="I848">
        <v>1</v>
      </c>
      <c r="J848" s="2" t="s">
        <v>16</v>
      </c>
      <c r="K848">
        <v>1</v>
      </c>
      <c r="L848" s="2" t="s">
        <v>24</v>
      </c>
      <c r="M848">
        <v>1</v>
      </c>
      <c r="N848" s="2" t="s">
        <v>41</v>
      </c>
      <c r="O848">
        <v>1</v>
      </c>
    </row>
    <row r="849" spans="1:15" x14ac:dyDescent="0.35">
      <c r="A849" s="2" t="s">
        <v>98</v>
      </c>
      <c r="B849" s="2" t="s">
        <v>56</v>
      </c>
      <c r="C849" s="2" t="s">
        <v>50</v>
      </c>
      <c r="D849" s="2" t="s">
        <v>232</v>
      </c>
      <c r="E849">
        <v>2018</v>
      </c>
      <c r="F849" s="2" t="s">
        <v>6</v>
      </c>
      <c r="G849">
        <v>1</v>
      </c>
      <c r="H849" s="2" t="s">
        <v>7</v>
      </c>
      <c r="I849">
        <v>1</v>
      </c>
      <c r="J849" s="2" t="s">
        <v>16</v>
      </c>
      <c r="K849">
        <v>1</v>
      </c>
      <c r="L849" s="2" t="s">
        <v>24</v>
      </c>
      <c r="M849">
        <v>1</v>
      </c>
      <c r="N849" s="2" t="s">
        <v>42</v>
      </c>
      <c r="O849">
        <v>1</v>
      </c>
    </row>
    <row r="850" spans="1:15" x14ac:dyDescent="0.35">
      <c r="A850" s="2" t="s">
        <v>98</v>
      </c>
      <c r="B850" s="2" t="s">
        <v>56</v>
      </c>
      <c r="C850" s="2" t="s">
        <v>50</v>
      </c>
      <c r="D850" s="2" t="s">
        <v>232</v>
      </c>
      <c r="E850">
        <v>2018</v>
      </c>
      <c r="F850" s="2" t="s">
        <v>6</v>
      </c>
      <c r="G850">
        <v>1</v>
      </c>
      <c r="H850" s="2" t="s">
        <v>7</v>
      </c>
      <c r="I850">
        <v>1</v>
      </c>
      <c r="J850" s="2" t="s">
        <v>16</v>
      </c>
      <c r="K850">
        <v>1</v>
      </c>
      <c r="L850" s="2" t="s">
        <v>24</v>
      </c>
      <c r="M850">
        <v>1</v>
      </c>
      <c r="N850" s="2" t="s">
        <v>46</v>
      </c>
      <c r="O850">
        <v>1</v>
      </c>
    </row>
    <row r="851" spans="1:15" x14ac:dyDescent="0.35">
      <c r="A851" s="2" t="s">
        <v>98</v>
      </c>
      <c r="B851" s="2" t="s">
        <v>56</v>
      </c>
      <c r="C851" s="2" t="s">
        <v>50</v>
      </c>
      <c r="D851" s="2" t="s">
        <v>232</v>
      </c>
      <c r="E851">
        <v>2018</v>
      </c>
      <c r="F851" s="2" t="s">
        <v>6</v>
      </c>
      <c r="G851">
        <v>1</v>
      </c>
      <c r="H851" s="2" t="s">
        <v>7</v>
      </c>
      <c r="I851">
        <v>1</v>
      </c>
      <c r="J851" s="2" t="s">
        <v>17</v>
      </c>
      <c r="K851">
        <v>1</v>
      </c>
      <c r="L851" s="2" t="s">
        <v>22</v>
      </c>
      <c r="M851">
        <v>1</v>
      </c>
      <c r="N851" s="2" t="s">
        <v>37</v>
      </c>
      <c r="O851">
        <v>1</v>
      </c>
    </row>
    <row r="852" spans="1:15" x14ac:dyDescent="0.35">
      <c r="A852" s="2" t="s">
        <v>98</v>
      </c>
      <c r="B852" s="2" t="s">
        <v>56</v>
      </c>
      <c r="C852" s="2" t="s">
        <v>50</v>
      </c>
      <c r="D852" s="2" t="s">
        <v>232</v>
      </c>
      <c r="E852">
        <v>2018</v>
      </c>
      <c r="F852" s="2" t="s">
        <v>6</v>
      </c>
      <c r="G852">
        <v>1</v>
      </c>
      <c r="H852" s="2" t="s">
        <v>7</v>
      </c>
      <c r="I852">
        <v>1</v>
      </c>
      <c r="J852" s="2" t="s">
        <v>17</v>
      </c>
      <c r="K852">
        <v>1</v>
      </c>
      <c r="L852" s="2" t="s">
        <v>22</v>
      </c>
      <c r="M852">
        <v>1</v>
      </c>
      <c r="N852" s="2" t="s">
        <v>38</v>
      </c>
      <c r="O852">
        <v>1</v>
      </c>
    </row>
    <row r="853" spans="1:15" x14ac:dyDescent="0.35">
      <c r="A853" s="2" t="s">
        <v>98</v>
      </c>
      <c r="B853" s="2" t="s">
        <v>56</v>
      </c>
      <c r="C853" s="2" t="s">
        <v>50</v>
      </c>
      <c r="D853" s="2" t="s">
        <v>232</v>
      </c>
      <c r="E853">
        <v>2018</v>
      </c>
      <c r="F853" s="2" t="s">
        <v>6</v>
      </c>
      <c r="G853">
        <v>1</v>
      </c>
      <c r="H853" s="2" t="s">
        <v>7</v>
      </c>
      <c r="I853">
        <v>1</v>
      </c>
      <c r="J853" s="2" t="s">
        <v>17</v>
      </c>
      <c r="K853">
        <v>1</v>
      </c>
      <c r="L853" s="2" t="s">
        <v>22</v>
      </c>
      <c r="M853">
        <v>1</v>
      </c>
      <c r="N853" s="2" t="s">
        <v>39</v>
      </c>
      <c r="O853">
        <v>1</v>
      </c>
    </row>
    <row r="854" spans="1:15" x14ac:dyDescent="0.35">
      <c r="A854" s="2" t="s">
        <v>98</v>
      </c>
      <c r="B854" s="2" t="s">
        <v>56</v>
      </c>
      <c r="C854" s="2" t="s">
        <v>50</v>
      </c>
      <c r="D854" s="2" t="s">
        <v>232</v>
      </c>
      <c r="E854">
        <v>2018</v>
      </c>
      <c r="F854" s="2" t="s">
        <v>6</v>
      </c>
      <c r="G854">
        <v>1</v>
      </c>
      <c r="H854" s="2" t="s">
        <v>7</v>
      </c>
      <c r="I854">
        <v>1</v>
      </c>
      <c r="J854" s="2" t="s">
        <v>17</v>
      </c>
      <c r="K854">
        <v>1</v>
      </c>
      <c r="L854" s="2" t="s">
        <v>22</v>
      </c>
      <c r="M854">
        <v>1</v>
      </c>
      <c r="N854" s="2" t="s">
        <v>41</v>
      </c>
      <c r="O854">
        <v>1</v>
      </c>
    </row>
    <row r="855" spans="1:15" x14ac:dyDescent="0.35">
      <c r="A855" s="2" t="s">
        <v>98</v>
      </c>
      <c r="B855" s="2" t="s">
        <v>56</v>
      </c>
      <c r="C855" s="2" t="s">
        <v>50</v>
      </c>
      <c r="D855" s="2" t="s">
        <v>232</v>
      </c>
      <c r="E855">
        <v>2018</v>
      </c>
      <c r="F855" s="2" t="s">
        <v>6</v>
      </c>
      <c r="G855">
        <v>1</v>
      </c>
      <c r="H855" s="2" t="s">
        <v>7</v>
      </c>
      <c r="I855">
        <v>1</v>
      </c>
      <c r="J855" s="2" t="s">
        <v>17</v>
      </c>
      <c r="K855">
        <v>1</v>
      </c>
      <c r="L855" s="2" t="s">
        <v>22</v>
      </c>
      <c r="M855">
        <v>1</v>
      </c>
      <c r="N855" s="2" t="s">
        <v>42</v>
      </c>
      <c r="O855">
        <v>1</v>
      </c>
    </row>
    <row r="856" spans="1:15" x14ac:dyDescent="0.35">
      <c r="A856" s="2" t="s">
        <v>98</v>
      </c>
      <c r="B856" s="2" t="s">
        <v>56</v>
      </c>
      <c r="C856" s="2" t="s">
        <v>50</v>
      </c>
      <c r="D856" s="2" t="s">
        <v>232</v>
      </c>
      <c r="E856">
        <v>2018</v>
      </c>
      <c r="F856" s="2" t="s">
        <v>6</v>
      </c>
      <c r="G856">
        <v>1</v>
      </c>
      <c r="H856" s="2" t="s">
        <v>7</v>
      </c>
      <c r="I856">
        <v>1</v>
      </c>
      <c r="J856" s="2" t="s">
        <v>17</v>
      </c>
      <c r="K856">
        <v>1</v>
      </c>
      <c r="L856" s="2" t="s">
        <v>22</v>
      </c>
      <c r="M856">
        <v>1</v>
      </c>
      <c r="N856" s="2" t="s">
        <v>46</v>
      </c>
      <c r="O856">
        <v>1</v>
      </c>
    </row>
    <row r="857" spans="1:15" x14ac:dyDescent="0.35">
      <c r="A857" s="2" t="s">
        <v>98</v>
      </c>
      <c r="B857" s="2" t="s">
        <v>56</v>
      </c>
      <c r="C857" s="2" t="s">
        <v>50</v>
      </c>
      <c r="D857" s="2" t="s">
        <v>232</v>
      </c>
      <c r="E857">
        <v>2018</v>
      </c>
      <c r="F857" s="2" t="s">
        <v>6</v>
      </c>
      <c r="G857">
        <v>1</v>
      </c>
      <c r="H857" s="2" t="s">
        <v>7</v>
      </c>
      <c r="I857">
        <v>1</v>
      </c>
      <c r="J857" s="2" t="s">
        <v>17</v>
      </c>
      <c r="K857">
        <v>1</v>
      </c>
      <c r="L857" s="2" t="s">
        <v>24</v>
      </c>
      <c r="M857">
        <v>1</v>
      </c>
      <c r="N857" s="2" t="s">
        <v>37</v>
      </c>
      <c r="O857">
        <v>1</v>
      </c>
    </row>
    <row r="858" spans="1:15" x14ac:dyDescent="0.35">
      <c r="A858" s="2" t="s">
        <v>98</v>
      </c>
      <c r="B858" s="2" t="s">
        <v>56</v>
      </c>
      <c r="C858" s="2" t="s">
        <v>50</v>
      </c>
      <c r="D858" s="2" t="s">
        <v>232</v>
      </c>
      <c r="E858">
        <v>2018</v>
      </c>
      <c r="F858" s="2" t="s">
        <v>6</v>
      </c>
      <c r="G858">
        <v>1</v>
      </c>
      <c r="H858" s="2" t="s">
        <v>7</v>
      </c>
      <c r="I858">
        <v>1</v>
      </c>
      <c r="J858" s="2" t="s">
        <v>17</v>
      </c>
      <c r="K858">
        <v>1</v>
      </c>
      <c r="L858" s="2" t="s">
        <v>24</v>
      </c>
      <c r="M858">
        <v>1</v>
      </c>
      <c r="N858" s="2" t="s">
        <v>38</v>
      </c>
      <c r="O858">
        <v>1</v>
      </c>
    </row>
    <row r="859" spans="1:15" x14ac:dyDescent="0.35">
      <c r="A859" s="2" t="s">
        <v>98</v>
      </c>
      <c r="B859" s="2" t="s">
        <v>56</v>
      </c>
      <c r="C859" s="2" t="s">
        <v>50</v>
      </c>
      <c r="D859" s="2" t="s">
        <v>232</v>
      </c>
      <c r="E859">
        <v>2018</v>
      </c>
      <c r="F859" s="2" t="s">
        <v>6</v>
      </c>
      <c r="G859">
        <v>1</v>
      </c>
      <c r="H859" s="2" t="s">
        <v>7</v>
      </c>
      <c r="I859">
        <v>1</v>
      </c>
      <c r="J859" s="2" t="s">
        <v>17</v>
      </c>
      <c r="K859">
        <v>1</v>
      </c>
      <c r="L859" s="2" t="s">
        <v>24</v>
      </c>
      <c r="M859">
        <v>1</v>
      </c>
      <c r="N859" s="2" t="s">
        <v>39</v>
      </c>
      <c r="O859">
        <v>1</v>
      </c>
    </row>
    <row r="860" spans="1:15" x14ac:dyDescent="0.35">
      <c r="A860" s="2" t="s">
        <v>98</v>
      </c>
      <c r="B860" s="2" t="s">
        <v>56</v>
      </c>
      <c r="C860" s="2" t="s">
        <v>50</v>
      </c>
      <c r="D860" s="2" t="s">
        <v>232</v>
      </c>
      <c r="E860">
        <v>2018</v>
      </c>
      <c r="F860" s="2" t="s">
        <v>6</v>
      </c>
      <c r="G860">
        <v>1</v>
      </c>
      <c r="H860" s="2" t="s">
        <v>7</v>
      </c>
      <c r="I860">
        <v>1</v>
      </c>
      <c r="J860" s="2" t="s">
        <v>17</v>
      </c>
      <c r="K860">
        <v>1</v>
      </c>
      <c r="L860" s="2" t="s">
        <v>24</v>
      </c>
      <c r="M860">
        <v>1</v>
      </c>
      <c r="N860" s="2" t="s">
        <v>41</v>
      </c>
      <c r="O860">
        <v>1</v>
      </c>
    </row>
    <row r="861" spans="1:15" x14ac:dyDescent="0.35">
      <c r="A861" s="2" t="s">
        <v>98</v>
      </c>
      <c r="B861" s="2" t="s">
        <v>56</v>
      </c>
      <c r="C861" s="2" t="s">
        <v>50</v>
      </c>
      <c r="D861" s="2" t="s">
        <v>232</v>
      </c>
      <c r="E861">
        <v>2018</v>
      </c>
      <c r="F861" s="2" t="s">
        <v>6</v>
      </c>
      <c r="G861">
        <v>1</v>
      </c>
      <c r="H861" s="2" t="s">
        <v>7</v>
      </c>
      <c r="I861">
        <v>1</v>
      </c>
      <c r="J861" s="2" t="s">
        <v>17</v>
      </c>
      <c r="K861">
        <v>1</v>
      </c>
      <c r="L861" s="2" t="s">
        <v>24</v>
      </c>
      <c r="M861">
        <v>1</v>
      </c>
      <c r="N861" s="2" t="s">
        <v>42</v>
      </c>
      <c r="O861">
        <v>1</v>
      </c>
    </row>
    <row r="862" spans="1:15" x14ac:dyDescent="0.35">
      <c r="A862" s="2" t="s">
        <v>98</v>
      </c>
      <c r="B862" s="2" t="s">
        <v>56</v>
      </c>
      <c r="C862" s="2" t="s">
        <v>50</v>
      </c>
      <c r="D862" s="2" t="s">
        <v>232</v>
      </c>
      <c r="E862">
        <v>2018</v>
      </c>
      <c r="F862" s="2" t="s">
        <v>6</v>
      </c>
      <c r="G862">
        <v>1</v>
      </c>
      <c r="H862" s="2" t="s">
        <v>7</v>
      </c>
      <c r="I862">
        <v>1</v>
      </c>
      <c r="J862" s="2" t="s">
        <v>17</v>
      </c>
      <c r="K862">
        <v>1</v>
      </c>
      <c r="L862" s="2" t="s">
        <v>24</v>
      </c>
      <c r="M862">
        <v>1</v>
      </c>
      <c r="N862" s="2" t="s">
        <v>46</v>
      </c>
      <c r="O862">
        <v>1</v>
      </c>
    </row>
    <row r="863" spans="1:15" x14ac:dyDescent="0.35">
      <c r="A863" s="2" t="s">
        <v>103</v>
      </c>
      <c r="B863" s="2" t="s">
        <v>56</v>
      </c>
      <c r="C863" s="2" t="s">
        <v>50</v>
      </c>
      <c r="D863" s="2" t="s">
        <v>230</v>
      </c>
      <c r="E863">
        <v>2017</v>
      </c>
      <c r="F863" s="2" t="s">
        <v>6</v>
      </c>
      <c r="G863">
        <v>1</v>
      </c>
      <c r="H863" s="2" t="s">
        <v>7</v>
      </c>
      <c r="I863">
        <v>1</v>
      </c>
      <c r="J863" s="2" t="s">
        <v>16</v>
      </c>
      <c r="K863">
        <v>1</v>
      </c>
      <c r="L863" s="2" t="s">
        <v>24</v>
      </c>
      <c r="M863">
        <v>1</v>
      </c>
      <c r="N863" s="2" t="s">
        <v>28</v>
      </c>
      <c r="O863">
        <v>1</v>
      </c>
    </row>
    <row r="864" spans="1:15" x14ac:dyDescent="0.35">
      <c r="A864" s="2" t="s">
        <v>103</v>
      </c>
      <c r="B864" s="2" t="s">
        <v>56</v>
      </c>
      <c r="C864" s="2" t="s">
        <v>50</v>
      </c>
      <c r="D864" s="2" t="s">
        <v>230</v>
      </c>
      <c r="E864">
        <v>2017</v>
      </c>
      <c r="F864" s="2" t="s">
        <v>6</v>
      </c>
      <c r="G864">
        <v>1</v>
      </c>
      <c r="H864" s="2" t="s">
        <v>7</v>
      </c>
      <c r="I864">
        <v>1</v>
      </c>
      <c r="J864" s="2" t="s">
        <v>16</v>
      </c>
      <c r="K864">
        <v>1</v>
      </c>
      <c r="L864" s="2" t="s">
        <v>24</v>
      </c>
      <c r="M864">
        <v>1</v>
      </c>
      <c r="N864" s="2" t="s">
        <v>37</v>
      </c>
      <c r="O864">
        <v>1</v>
      </c>
    </row>
    <row r="865" spans="1:15" x14ac:dyDescent="0.35">
      <c r="A865" s="2" t="s">
        <v>103</v>
      </c>
      <c r="B865" s="2" t="s">
        <v>56</v>
      </c>
      <c r="C865" s="2" t="s">
        <v>50</v>
      </c>
      <c r="D865" s="2" t="s">
        <v>230</v>
      </c>
      <c r="E865">
        <v>2017</v>
      </c>
      <c r="F865" s="2" t="s">
        <v>6</v>
      </c>
      <c r="G865">
        <v>1</v>
      </c>
      <c r="H865" s="2" t="s">
        <v>7</v>
      </c>
      <c r="I865">
        <v>1</v>
      </c>
      <c r="J865" s="2" t="s">
        <v>16</v>
      </c>
      <c r="K865">
        <v>1</v>
      </c>
      <c r="L865" s="2" t="s">
        <v>24</v>
      </c>
      <c r="M865">
        <v>1</v>
      </c>
      <c r="N865" s="2" t="s">
        <v>38</v>
      </c>
      <c r="O865">
        <v>1</v>
      </c>
    </row>
    <row r="866" spans="1:15" x14ac:dyDescent="0.35">
      <c r="A866" s="2" t="s">
        <v>103</v>
      </c>
      <c r="B866" s="2" t="s">
        <v>56</v>
      </c>
      <c r="C866" s="2" t="s">
        <v>50</v>
      </c>
      <c r="D866" s="2" t="s">
        <v>230</v>
      </c>
      <c r="E866">
        <v>2017</v>
      </c>
      <c r="F866" s="2" t="s">
        <v>6</v>
      </c>
      <c r="G866">
        <v>1</v>
      </c>
      <c r="H866" s="2" t="s">
        <v>7</v>
      </c>
      <c r="I866">
        <v>1</v>
      </c>
      <c r="J866" s="2" t="s">
        <v>16</v>
      </c>
      <c r="K866">
        <v>1</v>
      </c>
      <c r="L866" s="2" t="s">
        <v>24</v>
      </c>
      <c r="M866">
        <v>1</v>
      </c>
      <c r="N866" s="2" t="s">
        <v>39</v>
      </c>
      <c r="O866">
        <v>1</v>
      </c>
    </row>
    <row r="867" spans="1:15" x14ac:dyDescent="0.35">
      <c r="A867" s="2" t="s">
        <v>103</v>
      </c>
      <c r="B867" s="2" t="s">
        <v>56</v>
      </c>
      <c r="C867" s="2" t="s">
        <v>50</v>
      </c>
      <c r="D867" s="2" t="s">
        <v>230</v>
      </c>
      <c r="E867">
        <v>2017</v>
      </c>
      <c r="F867" s="2" t="s">
        <v>6</v>
      </c>
      <c r="G867">
        <v>1</v>
      </c>
      <c r="H867" s="2" t="s">
        <v>7</v>
      </c>
      <c r="I867">
        <v>1</v>
      </c>
      <c r="J867" s="2" t="s">
        <v>16</v>
      </c>
      <c r="K867">
        <v>1</v>
      </c>
      <c r="L867" s="2" t="s">
        <v>24</v>
      </c>
      <c r="M867">
        <v>1</v>
      </c>
      <c r="N867" s="2" t="s">
        <v>41</v>
      </c>
      <c r="O867">
        <v>1</v>
      </c>
    </row>
    <row r="868" spans="1:15" x14ac:dyDescent="0.35">
      <c r="A868" s="2" t="s">
        <v>112</v>
      </c>
      <c r="B868" s="2" t="s">
        <v>56</v>
      </c>
      <c r="C868" s="2" t="s">
        <v>50</v>
      </c>
      <c r="D868" s="2" t="s">
        <v>230</v>
      </c>
      <c r="E868">
        <v>2021</v>
      </c>
      <c r="F868" s="2" t="s">
        <v>6</v>
      </c>
      <c r="G868">
        <v>1</v>
      </c>
      <c r="H868" s="2" t="s">
        <v>7</v>
      </c>
      <c r="I868">
        <v>1</v>
      </c>
      <c r="J868" s="2" t="s">
        <v>16</v>
      </c>
      <c r="K868">
        <v>1</v>
      </c>
      <c r="L868" s="2" t="s">
        <v>19</v>
      </c>
      <c r="M868">
        <v>1</v>
      </c>
      <c r="N868" s="2" t="s">
        <v>31</v>
      </c>
      <c r="O868">
        <v>1</v>
      </c>
    </row>
    <row r="869" spans="1:15" x14ac:dyDescent="0.35">
      <c r="A869" s="2" t="s">
        <v>112</v>
      </c>
      <c r="B869" s="2" t="s">
        <v>56</v>
      </c>
      <c r="C869" s="2" t="s">
        <v>50</v>
      </c>
      <c r="D869" s="2" t="s">
        <v>230</v>
      </c>
      <c r="E869">
        <v>2021</v>
      </c>
      <c r="F869" s="2" t="s">
        <v>6</v>
      </c>
      <c r="G869">
        <v>1</v>
      </c>
      <c r="H869" s="2" t="s">
        <v>7</v>
      </c>
      <c r="I869">
        <v>1</v>
      </c>
      <c r="J869" s="2" t="s">
        <v>16</v>
      </c>
      <c r="K869">
        <v>1</v>
      </c>
      <c r="L869" s="2" t="s">
        <v>19</v>
      </c>
      <c r="M869">
        <v>1</v>
      </c>
      <c r="N869" s="2" t="s">
        <v>32</v>
      </c>
      <c r="O869">
        <v>1</v>
      </c>
    </row>
    <row r="870" spans="1:15" x14ac:dyDescent="0.35">
      <c r="A870" s="2" t="s">
        <v>112</v>
      </c>
      <c r="B870" s="2" t="s">
        <v>56</v>
      </c>
      <c r="C870" s="2" t="s">
        <v>50</v>
      </c>
      <c r="D870" s="2" t="s">
        <v>230</v>
      </c>
      <c r="E870">
        <v>2021</v>
      </c>
      <c r="F870" s="2" t="s">
        <v>6</v>
      </c>
      <c r="G870">
        <v>1</v>
      </c>
      <c r="H870" s="2" t="s">
        <v>7</v>
      </c>
      <c r="I870">
        <v>1</v>
      </c>
      <c r="J870" s="2" t="s">
        <v>16</v>
      </c>
      <c r="K870">
        <v>1</v>
      </c>
      <c r="L870" s="2" t="s">
        <v>19</v>
      </c>
      <c r="M870">
        <v>1</v>
      </c>
      <c r="N870" s="2" t="s">
        <v>35</v>
      </c>
      <c r="O870">
        <v>1</v>
      </c>
    </row>
    <row r="871" spans="1:15" x14ac:dyDescent="0.35">
      <c r="A871" s="2" t="s">
        <v>112</v>
      </c>
      <c r="B871" s="2" t="s">
        <v>56</v>
      </c>
      <c r="C871" s="2" t="s">
        <v>50</v>
      </c>
      <c r="D871" s="2" t="s">
        <v>230</v>
      </c>
      <c r="E871">
        <v>2021</v>
      </c>
      <c r="F871" s="2" t="s">
        <v>6</v>
      </c>
      <c r="G871">
        <v>1</v>
      </c>
      <c r="H871" s="2" t="s">
        <v>7</v>
      </c>
      <c r="I871">
        <v>1</v>
      </c>
      <c r="J871" s="2" t="s">
        <v>16</v>
      </c>
      <c r="K871">
        <v>1</v>
      </c>
      <c r="L871" s="2" t="s">
        <v>19</v>
      </c>
      <c r="M871">
        <v>1</v>
      </c>
      <c r="N871" s="2" t="s">
        <v>37</v>
      </c>
      <c r="O871">
        <v>1</v>
      </c>
    </row>
    <row r="872" spans="1:15" x14ac:dyDescent="0.35">
      <c r="A872" s="2" t="s">
        <v>112</v>
      </c>
      <c r="B872" s="2" t="s">
        <v>56</v>
      </c>
      <c r="C872" s="2" t="s">
        <v>50</v>
      </c>
      <c r="D872" s="2" t="s">
        <v>230</v>
      </c>
      <c r="E872">
        <v>2021</v>
      </c>
      <c r="F872" s="2" t="s">
        <v>6</v>
      </c>
      <c r="G872">
        <v>1</v>
      </c>
      <c r="H872" s="2" t="s">
        <v>7</v>
      </c>
      <c r="I872">
        <v>1</v>
      </c>
      <c r="J872" s="2" t="s">
        <v>16</v>
      </c>
      <c r="K872">
        <v>1</v>
      </c>
      <c r="L872" s="2" t="s">
        <v>19</v>
      </c>
      <c r="M872">
        <v>1</v>
      </c>
      <c r="N872" s="2" t="s">
        <v>38</v>
      </c>
      <c r="O872">
        <v>1</v>
      </c>
    </row>
    <row r="873" spans="1:15" x14ac:dyDescent="0.35">
      <c r="A873" s="2" t="s">
        <v>112</v>
      </c>
      <c r="B873" s="2" t="s">
        <v>56</v>
      </c>
      <c r="C873" s="2" t="s">
        <v>50</v>
      </c>
      <c r="D873" s="2" t="s">
        <v>230</v>
      </c>
      <c r="E873">
        <v>2021</v>
      </c>
      <c r="F873" s="2" t="s">
        <v>6</v>
      </c>
      <c r="G873">
        <v>1</v>
      </c>
      <c r="H873" s="2" t="s">
        <v>7</v>
      </c>
      <c r="I873">
        <v>1</v>
      </c>
      <c r="J873" s="2" t="s">
        <v>16</v>
      </c>
      <c r="K873">
        <v>1</v>
      </c>
      <c r="L873" s="2" t="s">
        <v>19</v>
      </c>
      <c r="M873">
        <v>1</v>
      </c>
      <c r="N873" s="2" t="s">
        <v>44</v>
      </c>
      <c r="O873">
        <v>1</v>
      </c>
    </row>
    <row r="874" spans="1:15" x14ac:dyDescent="0.35">
      <c r="A874" s="2" t="s">
        <v>112</v>
      </c>
      <c r="B874" s="2" t="s">
        <v>56</v>
      </c>
      <c r="C874" s="2" t="s">
        <v>50</v>
      </c>
      <c r="D874" s="2" t="s">
        <v>230</v>
      </c>
      <c r="E874">
        <v>2021</v>
      </c>
      <c r="F874" s="2" t="s">
        <v>6</v>
      </c>
      <c r="G874">
        <v>1</v>
      </c>
      <c r="H874" s="2" t="s">
        <v>7</v>
      </c>
      <c r="I874">
        <v>1</v>
      </c>
      <c r="J874" s="2" t="s">
        <v>16</v>
      </c>
      <c r="K874">
        <v>1</v>
      </c>
      <c r="L874" s="2" t="s">
        <v>19</v>
      </c>
      <c r="M874">
        <v>1</v>
      </c>
      <c r="N874" s="2" t="s">
        <v>46</v>
      </c>
      <c r="O874">
        <v>1</v>
      </c>
    </row>
    <row r="875" spans="1:15" x14ac:dyDescent="0.35">
      <c r="A875" s="2" t="s">
        <v>112</v>
      </c>
      <c r="B875" s="2" t="s">
        <v>56</v>
      </c>
      <c r="C875" s="2" t="s">
        <v>50</v>
      </c>
      <c r="D875" s="2" t="s">
        <v>230</v>
      </c>
      <c r="E875">
        <v>2021</v>
      </c>
      <c r="F875" s="2" t="s">
        <v>6</v>
      </c>
      <c r="G875">
        <v>1</v>
      </c>
      <c r="H875" s="2" t="s">
        <v>7</v>
      </c>
      <c r="I875">
        <v>1</v>
      </c>
      <c r="J875" s="2" t="s">
        <v>17</v>
      </c>
      <c r="K875">
        <v>1</v>
      </c>
      <c r="L875" s="2" t="s">
        <v>19</v>
      </c>
      <c r="M875">
        <v>1</v>
      </c>
      <c r="N875" s="2" t="s">
        <v>31</v>
      </c>
      <c r="O875">
        <v>1</v>
      </c>
    </row>
    <row r="876" spans="1:15" x14ac:dyDescent="0.35">
      <c r="A876" s="2" t="s">
        <v>112</v>
      </c>
      <c r="B876" s="2" t="s">
        <v>56</v>
      </c>
      <c r="C876" s="2" t="s">
        <v>50</v>
      </c>
      <c r="D876" s="2" t="s">
        <v>230</v>
      </c>
      <c r="E876">
        <v>2021</v>
      </c>
      <c r="F876" s="2" t="s">
        <v>6</v>
      </c>
      <c r="G876">
        <v>1</v>
      </c>
      <c r="H876" s="2" t="s">
        <v>7</v>
      </c>
      <c r="I876">
        <v>1</v>
      </c>
      <c r="J876" s="2" t="s">
        <v>17</v>
      </c>
      <c r="K876">
        <v>1</v>
      </c>
      <c r="L876" s="2" t="s">
        <v>19</v>
      </c>
      <c r="M876">
        <v>1</v>
      </c>
      <c r="N876" s="2" t="s">
        <v>32</v>
      </c>
      <c r="O876">
        <v>1</v>
      </c>
    </row>
    <row r="877" spans="1:15" x14ac:dyDescent="0.35">
      <c r="A877" s="2" t="s">
        <v>112</v>
      </c>
      <c r="B877" s="2" t="s">
        <v>56</v>
      </c>
      <c r="C877" s="2" t="s">
        <v>50</v>
      </c>
      <c r="D877" s="2" t="s">
        <v>230</v>
      </c>
      <c r="E877">
        <v>2021</v>
      </c>
      <c r="F877" s="2" t="s">
        <v>6</v>
      </c>
      <c r="G877">
        <v>1</v>
      </c>
      <c r="H877" s="2" t="s">
        <v>7</v>
      </c>
      <c r="I877">
        <v>1</v>
      </c>
      <c r="J877" s="2" t="s">
        <v>17</v>
      </c>
      <c r="K877">
        <v>1</v>
      </c>
      <c r="L877" s="2" t="s">
        <v>19</v>
      </c>
      <c r="M877">
        <v>1</v>
      </c>
      <c r="N877" s="2" t="s">
        <v>35</v>
      </c>
      <c r="O877">
        <v>1</v>
      </c>
    </row>
    <row r="878" spans="1:15" x14ac:dyDescent="0.35">
      <c r="A878" s="2" t="s">
        <v>112</v>
      </c>
      <c r="B878" s="2" t="s">
        <v>56</v>
      </c>
      <c r="C878" s="2" t="s">
        <v>50</v>
      </c>
      <c r="D878" s="2" t="s">
        <v>230</v>
      </c>
      <c r="E878">
        <v>2021</v>
      </c>
      <c r="F878" s="2" t="s">
        <v>6</v>
      </c>
      <c r="G878">
        <v>1</v>
      </c>
      <c r="H878" s="2" t="s">
        <v>7</v>
      </c>
      <c r="I878">
        <v>1</v>
      </c>
      <c r="J878" s="2" t="s">
        <v>17</v>
      </c>
      <c r="K878">
        <v>1</v>
      </c>
      <c r="L878" s="2" t="s">
        <v>19</v>
      </c>
      <c r="M878">
        <v>1</v>
      </c>
      <c r="N878" s="2" t="s">
        <v>37</v>
      </c>
      <c r="O878">
        <v>1</v>
      </c>
    </row>
    <row r="879" spans="1:15" x14ac:dyDescent="0.35">
      <c r="A879" s="2" t="s">
        <v>112</v>
      </c>
      <c r="B879" s="2" t="s">
        <v>56</v>
      </c>
      <c r="C879" s="2" t="s">
        <v>50</v>
      </c>
      <c r="D879" s="2" t="s">
        <v>230</v>
      </c>
      <c r="E879">
        <v>2021</v>
      </c>
      <c r="F879" s="2" t="s">
        <v>6</v>
      </c>
      <c r="G879">
        <v>1</v>
      </c>
      <c r="H879" s="2" t="s">
        <v>7</v>
      </c>
      <c r="I879">
        <v>1</v>
      </c>
      <c r="J879" s="2" t="s">
        <v>17</v>
      </c>
      <c r="K879">
        <v>1</v>
      </c>
      <c r="L879" s="2" t="s">
        <v>19</v>
      </c>
      <c r="M879">
        <v>1</v>
      </c>
      <c r="N879" s="2" t="s">
        <v>38</v>
      </c>
      <c r="O879">
        <v>1</v>
      </c>
    </row>
    <row r="880" spans="1:15" x14ac:dyDescent="0.35">
      <c r="A880" s="2" t="s">
        <v>112</v>
      </c>
      <c r="B880" s="2" t="s">
        <v>56</v>
      </c>
      <c r="C880" s="2" t="s">
        <v>50</v>
      </c>
      <c r="D880" s="2" t="s">
        <v>230</v>
      </c>
      <c r="E880">
        <v>2021</v>
      </c>
      <c r="F880" s="2" t="s">
        <v>6</v>
      </c>
      <c r="G880">
        <v>1</v>
      </c>
      <c r="H880" s="2" t="s">
        <v>7</v>
      </c>
      <c r="I880">
        <v>1</v>
      </c>
      <c r="J880" s="2" t="s">
        <v>17</v>
      </c>
      <c r="K880">
        <v>1</v>
      </c>
      <c r="L880" s="2" t="s">
        <v>19</v>
      </c>
      <c r="M880">
        <v>1</v>
      </c>
      <c r="N880" s="2" t="s">
        <v>44</v>
      </c>
      <c r="O880">
        <v>1</v>
      </c>
    </row>
    <row r="881" spans="1:15" x14ac:dyDescent="0.35">
      <c r="A881" s="2" t="s">
        <v>112</v>
      </c>
      <c r="B881" s="2" t="s">
        <v>56</v>
      </c>
      <c r="C881" s="2" t="s">
        <v>50</v>
      </c>
      <c r="D881" s="2" t="s">
        <v>230</v>
      </c>
      <c r="E881">
        <v>2021</v>
      </c>
      <c r="F881" s="2" t="s">
        <v>6</v>
      </c>
      <c r="G881">
        <v>1</v>
      </c>
      <c r="H881" s="2" t="s">
        <v>7</v>
      </c>
      <c r="I881">
        <v>1</v>
      </c>
      <c r="J881" s="2" t="s">
        <v>17</v>
      </c>
      <c r="K881">
        <v>1</v>
      </c>
      <c r="L881" s="2" t="s">
        <v>19</v>
      </c>
      <c r="M881">
        <v>1</v>
      </c>
      <c r="N881" s="2" t="s">
        <v>46</v>
      </c>
      <c r="O881">
        <v>1</v>
      </c>
    </row>
    <row r="882" spans="1:15" x14ac:dyDescent="0.35">
      <c r="A882" s="2" t="s">
        <v>115</v>
      </c>
      <c r="B882" s="2" t="s">
        <v>49</v>
      </c>
      <c r="C882" s="2" t="s">
        <v>50</v>
      </c>
      <c r="D882" s="2" t="s">
        <v>230</v>
      </c>
      <c r="E882">
        <v>2019</v>
      </c>
      <c r="F882" s="2" t="s">
        <v>6</v>
      </c>
      <c r="G882">
        <v>1</v>
      </c>
      <c r="H882" s="2" t="s">
        <v>10</v>
      </c>
      <c r="I882">
        <v>1</v>
      </c>
      <c r="J882" s="2" t="s">
        <v>14</v>
      </c>
      <c r="K882">
        <v>1</v>
      </c>
      <c r="L882" s="2" t="s">
        <v>20</v>
      </c>
      <c r="M882">
        <v>1</v>
      </c>
      <c r="N882" s="2" t="s">
        <v>28</v>
      </c>
      <c r="O882">
        <v>1</v>
      </c>
    </row>
    <row r="883" spans="1:15" x14ac:dyDescent="0.35">
      <c r="A883" s="2" t="s">
        <v>121</v>
      </c>
      <c r="B883" s="2" t="s">
        <v>56</v>
      </c>
      <c r="C883" s="2" t="s">
        <v>50</v>
      </c>
      <c r="D883" s="2" t="s">
        <v>230</v>
      </c>
      <c r="E883">
        <v>2014</v>
      </c>
      <c r="F883" s="2" t="s">
        <v>2</v>
      </c>
      <c r="G883">
        <v>1</v>
      </c>
      <c r="H883" s="2" t="s">
        <v>9</v>
      </c>
      <c r="I883">
        <v>1</v>
      </c>
      <c r="J883" s="2" t="s">
        <v>14</v>
      </c>
      <c r="K883">
        <v>1</v>
      </c>
      <c r="L883" s="2" t="s">
        <v>22</v>
      </c>
      <c r="M883">
        <v>1</v>
      </c>
      <c r="N883" s="2" t="s">
        <v>31</v>
      </c>
      <c r="O883">
        <v>1</v>
      </c>
    </row>
    <row r="884" spans="1:15" x14ac:dyDescent="0.35">
      <c r="A884" s="2" t="s">
        <v>121</v>
      </c>
      <c r="B884" s="2" t="s">
        <v>56</v>
      </c>
      <c r="C884" s="2" t="s">
        <v>50</v>
      </c>
      <c r="D884" s="2" t="s">
        <v>230</v>
      </c>
      <c r="E884">
        <v>2014</v>
      </c>
      <c r="F884" s="2" t="s">
        <v>2</v>
      </c>
      <c r="G884">
        <v>1</v>
      </c>
      <c r="H884" s="2" t="s">
        <v>9</v>
      </c>
      <c r="I884">
        <v>1</v>
      </c>
      <c r="J884" s="2" t="s">
        <v>14</v>
      </c>
      <c r="K884">
        <v>1</v>
      </c>
      <c r="L884" s="2" t="s">
        <v>22</v>
      </c>
      <c r="M884">
        <v>1</v>
      </c>
      <c r="N884" s="2" t="s">
        <v>44</v>
      </c>
      <c r="O884">
        <v>1</v>
      </c>
    </row>
    <row r="885" spans="1:15" x14ac:dyDescent="0.35">
      <c r="A885" s="2" t="s">
        <v>121</v>
      </c>
      <c r="B885" s="2" t="s">
        <v>56</v>
      </c>
      <c r="C885" s="2" t="s">
        <v>50</v>
      </c>
      <c r="D885" s="2" t="s">
        <v>230</v>
      </c>
      <c r="E885">
        <v>2014</v>
      </c>
      <c r="F885" s="2" t="s">
        <v>2</v>
      </c>
      <c r="G885">
        <v>1</v>
      </c>
      <c r="H885" s="2" t="s">
        <v>9</v>
      </c>
      <c r="I885">
        <v>1</v>
      </c>
      <c r="J885" s="2" t="s">
        <v>15</v>
      </c>
      <c r="K885">
        <v>1</v>
      </c>
      <c r="L885" s="2" t="s">
        <v>22</v>
      </c>
      <c r="M885">
        <v>1</v>
      </c>
      <c r="N885" s="2" t="s">
        <v>31</v>
      </c>
      <c r="O885">
        <v>1</v>
      </c>
    </row>
    <row r="886" spans="1:15" x14ac:dyDescent="0.35">
      <c r="A886" s="2" t="s">
        <v>121</v>
      </c>
      <c r="B886" s="2" t="s">
        <v>56</v>
      </c>
      <c r="C886" s="2" t="s">
        <v>50</v>
      </c>
      <c r="D886" s="2" t="s">
        <v>230</v>
      </c>
      <c r="E886">
        <v>2014</v>
      </c>
      <c r="F886" s="2" t="s">
        <v>2</v>
      </c>
      <c r="G886">
        <v>1</v>
      </c>
      <c r="H886" s="2" t="s">
        <v>9</v>
      </c>
      <c r="I886">
        <v>1</v>
      </c>
      <c r="J886" s="2" t="s">
        <v>15</v>
      </c>
      <c r="K886">
        <v>1</v>
      </c>
      <c r="L886" s="2" t="s">
        <v>22</v>
      </c>
      <c r="M886">
        <v>1</v>
      </c>
      <c r="N886" s="2" t="s">
        <v>44</v>
      </c>
      <c r="O886">
        <v>1</v>
      </c>
    </row>
    <row r="887" spans="1:15" x14ac:dyDescent="0.35">
      <c r="A887" s="2" t="s">
        <v>121</v>
      </c>
      <c r="B887" s="2" t="s">
        <v>56</v>
      </c>
      <c r="C887" s="2" t="s">
        <v>50</v>
      </c>
      <c r="D887" s="2" t="s">
        <v>230</v>
      </c>
      <c r="E887">
        <v>2014</v>
      </c>
      <c r="F887" s="2" t="s">
        <v>2</v>
      </c>
      <c r="G887">
        <v>1</v>
      </c>
      <c r="H887" s="2" t="s">
        <v>9</v>
      </c>
      <c r="I887">
        <v>1</v>
      </c>
      <c r="J887" s="2" t="s">
        <v>16</v>
      </c>
      <c r="K887">
        <v>1</v>
      </c>
      <c r="L887" s="2" t="s">
        <v>22</v>
      </c>
      <c r="M887">
        <v>1</v>
      </c>
      <c r="N887" s="2" t="s">
        <v>31</v>
      </c>
      <c r="O887">
        <v>1</v>
      </c>
    </row>
    <row r="888" spans="1:15" x14ac:dyDescent="0.35">
      <c r="A888" s="2" t="s">
        <v>121</v>
      </c>
      <c r="B888" s="2" t="s">
        <v>56</v>
      </c>
      <c r="C888" s="2" t="s">
        <v>50</v>
      </c>
      <c r="D888" s="2" t="s">
        <v>230</v>
      </c>
      <c r="E888">
        <v>2014</v>
      </c>
      <c r="F888" s="2" t="s">
        <v>2</v>
      </c>
      <c r="G888">
        <v>1</v>
      </c>
      <c r="H888" s="2" t="s">
        <v>9</v>
      </c>
      <c r="I888">
        <v>1</v>
      </c>
      <c r="J888" s="2" t="s">
        <v>16</v>
      </c>
      <c r="K888">
        <v>1</v>
      </c>
      <c r="L888" s="2" t="s">
        <v>22</v>
      </c>
      <c r="M888">
        <v>1</v>
      </c>
      <c r="N888" s="2" t="s">
        <v>44</v>
      </c>
      <c r="O888">
        <v>1</v>
      </c>
    </row>
    <row r="889" spans="1:15" x14ac:dyDescent="0.35">
      <c r="A889" s="2" t="s">
        <v>121</v>
      </c>
      <c r="B889" s="2" t="s">
        <v>56</v>
      </c>
      <c r="C889" s="2" t="s">
        <v>50</v>
      </c>
      <c r="D889" s="2" t="s">
        <v>230</v>
      </c>
      <c r="E889">
        <v>2014</v>
      </c>
      <c r="F889" s="2" t="s">
        <v>4</v>
      </c>
      <c r="G889">
        <v>1</v>
      </c>
      <c r="H889" s="2" t="s">
        <v>9</v>
      </c>
      <c r="I889">
        <v>1</v>
      </c>
      <c r="J889" s="2" t="s">
        <v>14</v>
      </c>
      <c r="K889">
        <v>1</v>
      </c>
      <c r="L889" s="2" t="s">
        <v>22</v>
      </c>
      <c r="M889">
        <v>1</v>
      </c>
      <c r="N889" s="2" t="s">
        <v>31</v>
      </c>
      <c r="O889">
        <v>1</v>
      </c>
    </row>
    <row r="890" spans="1:15" x14ac:dyDescent="0.35">
      <c r="A890" s="2" t="s">
        <v>121</v>
      </c>
      <c r="B890" s="2" t="s">
        <v>56</v>
      </c>
      <c r="C890" s="2" t="s">
        <v>50</v>
      </c>
      <c r="D890" s="2" t="s">
        <v>230</v>
      </c>
      <c r="E890">
        <v>2014</v>
      </c>
      <c r="F890" s="2" t="s">
        <v>4</v>
      </c>
      <c r="G890">
        <v>1</v>
      </c>
      <c r="H890" s="2" t="s">
        <v>9</v>
      </c>
      <c r="I890">
        <v>1</v>
      </c>
      <c r="J890" s="2" t="s">
        <v>14</v>
      </c>
      <c r="K890">
        <v>1</v>
      </c>
      <c r="L890" s="2" t="s">
        <v>22</v>
      </c>
      <c r="M890">
        <v>1</v>
      </c>
      <c r="N890" s="2" t="s">
        <v>44</v>
      </c>
      <c r="O890">
        <v>1</v>
      </c>
    </row>
    <row r="891" spans="1:15" x14ac:dyDescent="0.35">
      <c r="A891" s="2" t="s">
        <v>121</v>
      </c>
      <c r="B891" s="2" t="s">
        <v>56</v>
      </c>
      <c r="C891" s="2" t="s">
        <v>50</v>
      </c>
      <c r="D891" s="2" t="s">
        <v>230</v>
      </c>
      <c r="E891">
        <v>2014</v>
      </c>
      <c r="F891" s="2" t="s">
        <v>4</v>
      </c>
      <c r="G891">
        <v>1</v>
      </c>
      <c r="H891" s="2" t="s">
        <v>9</v>
      </c>
      <c r="I891">
        <v>1</v>
      </c>
      <c r="J891" s="2" t="s">
        <v>15</v>
      </c>
      <c r="K891">
        <v>1</v>
      </c>
      <c r="L891" s="2" t="s">
        <v>22</v>
      </c>
      <c r="M891">
        <v>1</v>
      </c>
      <c r="N891" s="2" t="s">
        <v>31</v>
      </c>
      <c r="O891">
        <v>1</v>
      </c>
    </row>
    <row r="892" spans="1:15" x14ac:dyDescent="0.35">
      <c r="A892" s="2" t="s">
        <v>121</v>
      </c>
      <c r="B892" s="2" t="s">
        <v>56</v>
      </c>
      <c r="C892" s="2" t="s">
        <v>50</v>
      </c>
      <c r="D892" s="2" t="s">
        <v>230</v>
      </c>
      <c r="E892">
        <v>2014</v>
      </c>
      <c r="F892" s="2" t="s">
        <v>4</v>
      </c>
      <c r="G892">
        <v>1</v>
      </c>
      <c r="H892" s="2" t="s">
        <v>9</v>
      </c>
      <c r="I892">
        <v>1</v>
      </c>
      <c r="J892" s="2" t="s">
        <v>15</v>
      </c>
      <c r="K892">
        <v>1</v>
      </c>
      <c r="L892" s="2" t="s">
        <v>22</v>
      </c>
      <c r="M892">
        <v>1</v>
      </c>
      <c r="N892" s="2" t="s">
        <v>44</v>
      </c>
      <c r="O892">
        <v>1</v>
      </c>
    </row>
    <row r="893" spans="1:15" x14ac:dyDescent="0.35">
      <c r="A893" s="2" t="s">
        <v>121</v>
      </c>
      <c r="B893" s="2" t="s">
        <v>56</v>
      </c>
      <c r="C893" s="2" t="s">
        <v>50</v>
      </c>
      <c r="D893" s="2" t="s">
        <v>230</v>
      </c>
      <c r="E893">
        <v>2014</v>
      </c>
      <c r="F893" s="2" t="s">
        <v>4</v>
      </c>
      <c r="G893">
        <v>1</v>
      </c>
      <c r="H893" s="2" t="s">
        <v>9</v>
      </c>
      <c r="I893">
        <v>1</v>
      </c>
      <c r="J893" s="2" t="s">
        <v>16</v>
      </c>
      <c r="K893">
        <v>1</v>
      </c>
      <c r="L893" s="2" t="s">
        <v>22</v>
      </c>
      <c r="M893">
        <v>1</v>
      </c>
      <c r="N893" s="2" t="s">
        <v>31</v>
      </c>
      <c r="O893">
        <v>1</v>
      </c>
    </row>
    <row r="894" spans="1:15" x14ac:dyDescent="0.35">
      <c r="A894" s="2" t="s">
        <v>121</v>
      </c>
      <c r="B894" s="2" t="s">
        <v>56</v>
      </c>
      <c r="C894" s="2" t="s">
        <v>50</v>
      </c>
      <c r="D894" s="2" t="s">
        <v>230</v>
      </c>
      <c r="E894">
        <v>2014</v>
      </c>
      <c r="F894" s="2" t="s">
        <v>4</v>
      </c>
      <c r="G894">
        <v>1</v>
      </c>
      <c r="H894" s="2" t="s">
        <v>9</v>
      </c>
      <c r="I894">
        <v>1</v>
      </c>
      <c r="J894" s="2" t="s">
        <v>16</v>
      </c>
      <c r="K894">
        <v>1</v>
      </c>
      <c r="L894" s="2" t="s">
        <v>22</v>
      </c>
      <c r="M894">
        <v>1</v>
      </c>
      <c r="N894" s="2" t="s">
        <v>44</v>
      </c>
      <c r="O894">
        <v>1</v>
      </c>
    </row>
    <row r="895" spans="1:15" x14ac:dyDescent="0.35">
      <c r="A895" s="2" t="s">
        <v>129</v>
      </c>
      <c r="B895" s="2" t="s">
        <v>56</v>
      </c>
      <c r="C895" s="2" t="s">
        <v>50</v>
      </c>
      <c r="D895" s="2" t="s">
        <v>230</v>
      </c>
      <c r="E895">
        <v>2020</v>
      </c>
      <c r="F895" s="2" t="s">
        <v>6</v>
      </c>
      <c r="G895">
        <v>1</v>
      </c>
      <c r="H895" s="2" t="s">
        <v>7</v>
      </c>
      <c r="I895">
        <v>1</v>
      </c>
      <c r="J895" s="2" t="s">
        <v>15</v>
      </c>
      <c r="K895">
        <v>1</v>
      </c>
      <c r="L895" s="2" t="s">
        <v>20</v>
      </c>
      <c r="M895">
        <v>1</v>
      </c>
      <c r="N895" s="2" t="s">
        <v>28</v>
      </c>
      <c r="O895">
        <v>1</v>
      </c>
    </row>
    <row r="896" spans="1:15" x14ac:dyDescent="0.35">
      <c r="A896" s="2" t="s">
        <v>129</v>
      </c>
      <c r="B896" s="2" t="s">
        <v>56</v>
      </c>
      <c r="C896" s="2" t="s">
        <v>50</v>
      </c>
      <c r="D896" s="2" t="s">
        <v>230</v>
      </c>
      <c r="E896">
        <v>2020</v>
      </c>
      <c r="F896" s="2" t="s">
        <v>6</v>
      </c>
      <c r="G896">
        <v>1</v>
      </c>
      <c r="H896" s="2" t="s">
        <v>7</v>
      </c>
      <c r="I896">
        <v>1</v>
      </c>
      <c r="J896" s="2" t="s">
        <v>15</v>
      </c>
      <c r="K896">
        <v>1</v>
      </c>
      <c r="L896" s="2" t="s">
        <v>20</v>
      </c>
      <c r="M896">
        <v>1</v>
      </c>
      <c r="N896" s="2" t="s">
        <v>29</v>
      </c>
      <c r="O896">
        <v>1</v>
      </c>
    </row>
    <row r="897" spans="1:15" x14ac:dyDescent="0.35">
      <c r="A897" s="2" t="s">
        <v>130</v>
      </c>
      <c r="B897" s="2" t="s">
        <v>49</v>
      </c>
      <c r="C897" s="2" t="s">
        <v>50</v>
      </c>
      <c r="D897" s="2" t="s">
        <v>230</v>
      </c>
      <c r="E897">
        <v>2021</v>
      </c>
      <c r="F897" s="2" t="s">
        <v>6</v>
      </c>
      <c r="G897">
        <v>1</v>
      </c>
      <c r="H897" s="2" t="s">
        <v>7</v>
      </c>
      <c r="I897">
        <v>1</v>
      </c>
      <c r="J897" s="2" t="s">
        <v>15</v>
      </c>
      <c r="K897">
        <v>1</v>
      </c>
      <c r="L897" s="2" t="s">
        <v>19</v>
      </c>
      <c r="M897">
        <v>1</v>
      </c>
      <c r="N897" s="2" t="s">
        <v>27</v>
      </c>
      <c r="O897">
        <v>1</v>
      </c>
    </row>
    <row r="898" spans="1:15" x14ac:dyDescent="0.35">
      <c r="A898" s="2" t="s">
        <v>130</v>
      </c>
      <c r="B898" s="2" t="s">
        <v>49</v>
      </c>
      <c r="C898" s="2" t="s">
        <v>50</v>
      </c>
      <c r="D898" s="2" t="s">
        <v>230</v>
      </c>
      <c r="E898">
        <v>2021</v>
      </c>
      <c r="F898" s="2" t="s">
        <v>6</v>
      </c>
      <c r="G898">
        <v>1</v>
      </c>
      <c r="H898" s="2" t="s">
        <v>7</v>
      </c>
      <c r="I898">
        <v>1</v>
      </c>
      <c r="J898" s="2" t="s">
        <v>15</v>
      </c>
      <c r="K898">
        <v>1</v>
      </c>
      <c r="L898" s="2" t="s">
        <v>19</v>
      </c>
      <c r="M898">
        <v>1</v>
      </c>
      <c r="N898" s="2" t="s">
        <v>33</v>
      </c>
      <c r="O898">
        <v>1</v>
      </c>
    </row>
    <row r="899" spans="1:15" x14ac:dyDescent="0.35">
      <c r="A899" s="2" t="s">
        <v>130</v>
      </c>
      <c r="B899" s="2" t="s">
        <v>49</v>
      </c>
      <c r="C899" s="2" t="s">
        <v>50</v>
      </c>
      <c r="D899" s="2" t="s">
        <v>230</v>
      </c>
      <c r="E899">
        <v>2021</v>
      </c>
      <c r="F899" s="2" t="s">
        <v>6</v>
      </c>
      <c r="G899">
        <v>1</v>
      </c>
      <c r="H899" s="2" t="s">
        <v>7</v>
      </c>
      <c r="I899">
        <v>1</v>
      </c>
      <c r="J899" s="2" t="s">
        <v>15</v>
      </c>
      <c r="K899">
        <v>1</v>
      </c>
      <c r="L899" s="2" t="s">
        <v>19</v>
      </c>
      <c r="M899">
        <v>1</v>
      </c>
      <c r="N899" s="2" t="s">
        <v>37</v>
      </c>
      <c r="O899">
        <v>1</v>
      </c>
    </row>
    <row r="900" spans="1:15" x14ac:dyDescent="0.35">
      <c r="A900" s="2" t="s">
        <v>130</v>
      </c>
      <c r="B900" s="2" t="s">
        <v>49</v>
      </c>
      <c r="C900" s="2" t="s">
        <v>50</v>
      </c>
      <c r="D900" s="2" t="s">
        <v>230</v>
      </c>
      <c r="E900">
        <v>2021</v>
      </c>
      <c r="F900" s="2" t="s">
        <v>6</v>
      </c>
      <c r="G900">
        <v>1</v>
      </c>
      <c r="H900" s="2" t="s">
        <v>7</v>
      </c>
      <c r="I900">
        <v>1</v>
      </c>
      <c r="J900" s="2" t="s">
        <v>15</v>
      </c>
      <c r="K900">
        <v>1</v>
      </c>
      <c r="L900" s="2" t="s">
        <v>19</v>
      </c>
      <c r="M900">
        <v>1</v>
      </c>
      <c r="N900" s="2" t="s">
        <v>38</v>
      </c>
      <c r="O900">
        <v>1</v>
      </c>
    </row>
    <row r="901" spans="1:15" x14ac:dyDescent="0.35">
      <c r="A901" s="2" t="s">
        <v>130</v>
      </c>
      <c r="B901" s="2" t="s">
        <v>49</v>
      </c>
      <c r="C901" s="2" t="s">
        <v>50</v>
      </c>
      <c r="D901" s="2" t="s">
        <v>230</v>
      </c>
      <c r="E901">
        <v>2021</v>
      </c>
      <c r="F901" s="2" t="s">
        <v>6</v>
      </c>
      <c r="G901">
        <v>1</v>
      </c>
      <c r="H901" s="2" t="s">
        <v>7</v>
      </c>
      <c r="I901">
        <v>1</v>
      </c>
      <c r="J901" s="2" t="s">
        <v>15</v>
      </c>
      <c r="K901">
        <v>1</v>
      </c>
      <c r="L901" s="2" t="s">
        <v>19</v>
      </c>
      <c r="M901">
        <v>1</v>
      </c>
      <c r="N901" s="2" t="s">
        <v>39</v>
      </c>
      <c r="O901">
        <v>1</v>
      </c>
    </row>
    <row r="902" spans="1:15" x14ac:dyDescent="0.35">
      <c r="A902" s="2" t="s">
        <v>130</v>
      </c>
      <c r="B902" s="2" t="s">
        <v>49</v>
      </c>
      <c r="C902" s="2" t="s">
        <v>50</v>
      </c>
      <c r="D902" s="2" t="s">
        <v>230</v>
      </c>
      <c r="E902">
        <v>2021</v>
      </c>
      <c r="F902" s="2" t="s">
        <v>6</v>
      </c>
      <c r="G902">
        <v>1</v>
      </c>
      <c r="H902" s="2" t="s">
        <v>7</v>
      </c>
      <c r="I902">
        <v>1</v>
      </c>
      <c r="J902" s="2" t="s">
        <v>15</v>
      </c>
      <c r="K902">
        <v>1</v>
      </c>
      <c r="L902" s="2" t="s">
        <v>19</v>
      </c>
      <c r="M902">
        <v>1</v>
      </c>
      <c r="N902" s="2" t="s">
        <v>44</v>
      </c>
      <c r="O902">
        <v>1</v>
      </c>
    </row>
    <row r="903" spans="1:15" x14ac:dyDescent="0.35">
      <c r="A903" s="2" t="s">
        <v>130</v>
      </c>
      <c r="B903" s="2" t="s">
        <v>49</v>
      </c>
      <c r="C903" s="2" t="s">
        <v>50</v>
      </c>
      <c r="D903" s="2" t="s">
        <v>230</v>
      </c>
      <c r="E903">
        <v>2021</v>
      </c>
      <c r="F903" s="2" t="s">
        <v>6</v>
      </c>
      <c r="G903">
        <v>1</v>
      </c>
      <c r="H903" s="2" t="s">
        <v>7</v>
      </c>
      <c r="I903">
        <v>1</v>
      </c>
      <c r="J903" s="2" t="s">
        <v>15</v>
      </c>
      <c r="K903">
        <v>1</v>
      </c>
      <c r="L903" s="2" t="s">
        <v>23</v>
      </c>
      <c r="M903">
        <v>1</v>
      </c>
      <c r="N903" s="2" t="s">
        <v>27</v>
      </c>
      <c r="O903">
        <v>1</v>
      </c>
    </row>
    <row r="904" spans="1:15" x14ac:dyDescent="0.35">
      <c r="A904" s="2" t="s">
        <v>130</v>
      </c>
      <c r="B904" s="2" t="s">
        <v>49</v>
      </c>
      <c r="C904" s="2" t="s">
        <v>50</v>
      </c>
      <c r="D904" s="2" t="s">
        <v>230</v>
      </c>
      <c r="E904">
        <v>2021</v>
      </c>
      <c r="F904" s="2" t="s">
        <v>6</v>
      </c>
      <c r="G904">
        <v>1</v>
      </c>
      <c r="H904" s="2" t="s">
        <v>7</v>
      </c>
      <c r="I904">
        <v>1</v>
      </c>
      <c r="J904" s="2" t="s">
        <v>15</v>
      </c>
      <c r="K904">
        <v>1</v>
      </c>
      <c r="L904" s="2" t="s">
        <v>23</v>
      </c>
      <c r="M904">
        <v>1</v>
      </c>
      <c r="N904" s="2" t="s">
        <v>33</v>
      </c>
      <c r="O904">
        <v>1</v>
      </c>
    </row>
    <row r="905" spans="1:15" x14ac:dyDescent="0.35">
      <c r="A905" s="2" t="s">
        <v>130</v>
      </c>
      <c r="B905" s="2" t="s">
        <v>49</v>
      </c>
      <c r="C905" s="2" t="s">
        <v>50</v>
      </c>
      <c r="D905" s="2" t="s">
        <v>230</v>
      </c>
      <c r="E905">
        <v>2021</v>
      </c>
      <c r="F905" s="2" t="s">
        <v>6</v>
      </c>
      <c r="G905">
        <v>1</v>
      </c>
      <c r="H905" s="2" t="s">
        <v>7</v>
      </c>
      <c r="I905">
        <v>1</v>
      </c>
      <c r="J905" s="2" t="s">
        <v>15</v>
      </c>
      <c r="K905">
        <v>1</v>
      </c>
      <c r="L905" s="2" t="s">
        <v>23</v>
      </c>
      <c r="M905">
        <v>1</v>
      </c>
      <c r="N905" s="2" t="s">
        <v>37</v>
      </c>
      <c r="O905">
        <v>1</v>
      </c>
    </row>
    <row r="906" spans="1:15" x14ac:dyDescent="0.35">
      <c r="A906" s="2" t="s">
        <v>130</v>
      </c>
      <c r="B906" s="2" t="s">
        <v>49</v>
      </c>
      <c r="C906" s="2" t="s">
        <v>50</v>
      </c>
      <c r="D906" s="2" t="s">
        <v>230</v>
      </c>
      <c r="E906">
        <v>2021</v>
      </c>
      <c r="F906" s="2" t="s">
        <v>6</v>
      </c>
      <c r="G906">
        <v>1</v>
      </c>
      <c r="H906" s="2" t="s">
        <v>7</v>
      </c>
      <c r="I906">
        <v>1</v>
      </c>
      <c r="J906" s="2" t="s">
        <v>15</v>
      </c>
      <c r="K906">
        <v>1</v>
      </c>
      <c r="L906" s="2" t="s">
        <v>23</v>
      </c>
      <c r="M906">
        <v>1</v>
      </c>
      <c r="N906" s="2" t="s">
        <v>38</v>
      </c>
      <c r="O906">
        <v>1</v>
      </c>
    </row>
    <row r="907" spans="1:15" x14ac:dyDescent="0.35">
      <c r="A907" s="2" t="s">
        <v>130</v>
      </c>
      <c r="B907" s="2" t="s">
        <v>49</v>
      </c>
      <c r="C907" s="2" t="s">
        <v>50</v>
      </c>
      <c r="D907" s="2" t="s">
        <v>230</v>
      </c>
      <c r="E907">
        <v>2021</v>
      </c>
      <c r="F907" s="2" t="s">
        <v>6</v>
      </c>
      <c r="G907">
        <v>1</v>
      </c>
      <c r="H907" s="2" t="s">
        <v>7</v>
      </c>
      <c r="I907">
        <v>1</v>
      </c>
      <c r="J907" s="2" t="s">
        <v>15</v>
      </c>
      <c r="K907">
        <v>1</v>
      </c>
      <c r="L907" s="2" t="s">
        <v>23</v>
      </c>
      <c r="M907">
        <v>1</v>
      </c>
      <c r="N907" s="2" t="s">
        <v>39</v>
      </c>
      <c r="O907">
        <v>1</v>
      </c>
    </row>
    <row r="908" spans="1:15" x14ac:dyDescent="0.35">
      <c r="A908" s="2" t="s">
        <v>130</v>
      </c>
      <c r="B908" s="2" t="s">
        <v>49</v>
      </c>
      <c r="C908" s="2" t="s">
        <v>50</v>
      </c>
      <c r="D908" s="2" t="s">
        <v>230</v>
      </c>
      <c r="E908">
        <v>2021</v>
      </c>
      <c r="F908" s="2" t="s">
        <v>6</v>
      </c>
      <c r="G908">
        <v>1</v>
      </c>
      <c r="H908" s="2" t="s">
        <v>7</v>
      </c>
      <c r="I908">
        <v>1</v>
      </c>
      <c r="J908" s="2" t="s">
        <v>15</v>
      </c>
      <c r="K908">
        <v>1</v>
      </c>
      <c r="L908" s="2" t="s">
        <v>23</v>
      </c>
      <c r="M908">
        <v>1</v>
      </c>
      <c r="N908" s="2" t="s">
        <v>44</v>
      </c>
      <c r="O908">
        <v>1</v>
      </c>
    </row>
    <row r="909" spans="1:15" x14ac:dyDescent="0.35">
      <c r="A909" s="2" t="s">
        <v>130</v>
      </c>
      <c r="B909" s="2" t="s">
        <v>49</v>
      </c>
      <c r="C909" s="2" t="s">
        <v>50</v>
      </c>
      <c r="D909" s="2" t="s">
        <v>230</v>
      </c>
      <c r="E909">
        <v>2021</v>
      </c>
      <c r="F909" s="2" t="s">
        <v>6</v>
      </c>
      <c r="G909">
        <v>1</v>
      </c>
      <c r="H909" s="2" t="s">
        <v>7</v>
      </c>
      <c r="I909">
        <v>1</v>
      </c>
      <c r="J909" s="2" t="s">
        <v>16</v>
      </c>
      <c r="K909">
        <v>1</v>
      </c>
      <c r="L909" s="2" t="s">
        <v>19</v>
      </c>
      <c r="M909">
        <v>1</v>
      </c>
      <c r="N909" s="2" t="s">
        <v>27</v>
      </c>
      <c r="O909">
        <v>1</v>
      </c>
    </row>
    <row r="910" spans="1:15" x14ac:dyDescent="0.35">
      <c r="A910" s="2" t="s">
        <v>130</v>
      </c>
      <c r="B910" s="2" t="s">
        <v>49</v>
      </c>
      <c r="C910" s="2" t="s">
        <v>50</v>
      </c>
      <c r="D910" s="2" t="s">
        <v>230</v>
      </c>
      <c r="E910">
        <v>2021</v>
      </c>
      <c r="F910" s="2" t="s">
        <v>6</v>
      </c>
      <c r="G910">
        <v>1</v>
      </c>
      <c r="H910" s="2" t="s">
        <v>7</v>
      </c>
      <c r="I910">
        <v>1</v>
      </c>
      <c r="J910" s="2" t="s">
        <v>16</v>
      </c>
      <c r="K910">
        <v>1</v>
      </c>
      <c r="L910" s="2" t="s">
        <v>19</v>
      </c>
      <c r="M910">
        <v>1</v>
      </c>
      <c r="N910" s="2" t="s">
        <v>33</v>
      </c>
      <c r="O910">
        <v>1</v>
      </c>
    </row>
    <row r="911" spans="1:15" x14ac:dyDescent="0.35">
      <c r="A911" s="2" t="s">
        <v>130</v>
      </c>
      <c r="B911" s="2" t="s">
        <v>49</v>
      </c>
      <c r="C911" s="2" t="s">
        <v>50</v>
      </c>
      <c r="D911" s="2" t="s">
        <v>230</v>
      </c>
      <c r="E911">
        <v>2021</v>
      </c>
      <c r="F911" s="2" t="s">
        <v>6</v>
      </c>
      <c r="G911">
        <v>1</v>
      </c>
      <c r="H911" s="2" t="s">
        <v>7</v>
      </c>
      <c r="I911">
        <v>1</v>
      </c>
      <c r="J911" s="2" t="s">
        <v>16</v>
      </c>
      <c r="K911">
        <v>1</v>
      </c>
      <c r="L911" s="2" t="s">
        <v>19</v>
      </c>
      <c r="M911">
        <v>1</v>
      </c>
      <c r="N911" s="2" t="s">
        <v>37</v>
      </c>
      <c r="O911">
        <v>1</v>
      </c>
    </row>
    <row r="912" spans="1:15" x14ac:dyDescent="0.35">
      <c r="A912" s="2" t="s">
        <v>130</v>
      </c>
      <c r="B912" s="2" t="s">
        <v>49</v>
      </c>
      <c r="C912" s="2" t="s">
        <v>50</v>
      </c>
      <c r="D912" s="2" t="s">
        <v>230</v>
      </c>
      <c r="E912">
        <v>2021</v>
      </c>
      <c r="F912" s="2" t="s">
        <v>6</v>
      </c>
      <c r="G912">
        <v>1</v>
      </c>
      <c r="H912" s="2" t="s">
        <v>7</v>
      </c>
      <c r="I912">
        <v>1</v>
      </c>
      <c r="J912" s="2" t="s">
        <v>16</v>
      </c>
      <c r="K912">
        <v>1</v>
      </c>
      <c r="L912" s="2" t="s">
        <v>19</v>
      </c>
      <c r="M912">
        <v>1</v>
      </c>
      <c r="N912" s="2" t="s">
        <v>38</v>
      </c>
      <c r="O912">
        <v>1</v>
      </c>
    </row>
    <row r="913" spans="1:15" x14ac:dyDescent="0.35">
      <c r="A913" s="2" t="s">
        <v>130</v>
      </c>
      <c r="B913" s="2" t="s">
        <v>49</v>
      </c>
      <c r="C913" s="2" t="s">
        <v>50</v>
      </c>
      <c r="D913" s="2" t="s">
        <v>230</v>
      </c>
      <c r="E913">
        <v>2021</v>
      </c>
      <c r="F913" s="2" t="s">
        <v>6</v>
      </c>
      <c r="G913">
        <v>1</v>
      </c>
      <c r="H913" s="2" t="s">
        <v>7</v>
      </c>
      <c r="I913">
        <v>1</v>
      </c>
      <c r="J913" s="2" t="s">
        <v>16</v>
      </c>
      <c r="K913">
        <v>1</v>
      </c>
      <c r="L913" s="2" t="s">
        <v>19</v>
      </c>
      <c r="M913">
        <v>1</v>
      </c>
      <c r="N913" s="2" t="s">
        <v>39</v>
      </c>
      <c r="O913">
        <v>1</v>
      </c>
    </row>
    <row r="914" spans="1:15" x14ac:dyDescent="0.35">
      <c r="A914" s="2" t="s">
        <v>130</v>
      </c>
      <c r="B914" s="2" t="s">
        <v>49</v>
      </c>
      <c r="C914" s="2" t="s">
        <v>50</v>
      </c>
      <c r="D914" s="2" t="s">
        <v>230</v>
      </c>
      <c r="E914">
        <v>2021</v>
      </c>
      <c r="F914" s="2" t="s">
        <v>6</v>
      </c>
      <c r="G914">
        <v>1</v>
      </c>
      <c r="H914" s="2" t="s">
        <v>7</v>
      </c>
      <c r="I914">
        <v>1</v>
      </c>
      <c r="J914" s="2" t="s">
        <v>16</v>
      </c>
      <c r="K914">
        <v>1</v>
      </c>
      <c r="L914" s="2" t="s">
        <v>19</v>
      </c>
      <c r="M914">
        <v>1</v>
      </c>
      <c r="N914" s="2" t="s">
        <v>44</v>
      </c>
      <c r="O914">
        <v>1</v>
      </c>
    </row>
    <row r="915" spans="1:15" x14ac:dyDescent="0.35">
      <c r="A915" s="2" t="s">
        <v>130</v>
      </c>
      <c r="B915" s="2" t="s">
        <v>49</v>
      </c>
      <c r="C915" s="2" t="s">
        <v>50</v>
      </c>
      <c r="D915" s="2" t="s">
        <v>230</v>
      </c>
      <c r="E915">
        <v>2021</v>
      </c>
      <c r="F915" s="2" t="s">
        <v>6</v>
      </c>
      <c r="G915">
        <v>1</v>
      </c>
      <c r="H915" s="2" t="s">
        <v>7</v>
      </c>
      <c r="I915">
        <v>1</v>
      </c>
      <c r="J915" s="2" t="s">
        <v>16</v>
      </c>
      <c r="K915">
        <v>1</v>
      </c>
      <c r="L915" s="2" t="s">
        <v>23</v>
      </c>
      <c r="M915">
        <v>1</v>
      </c>
      <c r="N915" s="2" t="s">
        <v>27</v>
      </c>
      <c r="O915">
        <v>1</v>
      </c>
    </row>
    <row r="916" spans="1:15" x14ac:dyDescent="0.35">
      <c r="A916" s="2" t="s">
        <v>130</v>
      </c>
      <c r="B916" s="2" t="s">
        <v>49</v>
      </c>
      <c r="C916" s="2" t="s">
        <v>50</v>
      </c>
      <c r="D916" s="2" t="s">
        <v>230</v>
      </c>
      <c r="E916">
        <v>2021</v>
      </c>
      <c r="F916" s="2" t="s">
        <v>6</v>
      </c>
      <c r="G916">
        <v>1</v>
      </c>
      <c r="H916" s="2" t="s">
        <v>7</v>
      </c>
      <c r="I916">
        <v>1</v>
      </c>
      <c r="J916" s="2" t="s">
        <v>16</v>
      </c>
      <c r="K916">
        <v>1</v>
      </c>
      <c r="L916" s="2" t="s">
        <v>23</v>
      </c>
      <c r="M916">
        <v>1</v>
      </c>
      <c r="N916" s="2" t="s">
        <v>33</v>
      </c>
      <c r="O916">
        <v>1</v>
      </c>
    </row>
    <row r="917" spans="1:15" x14ac:dyDescent="0.35">
      <c r="A917" s="2" t="s">
        <v>130</v>
      </c>
      <c r="B917" s="2" t="s">
        <v>49</v>
      </c>
      <c r="C917" s="2" t="s">
        <v>50</v>
      </c>
      <c r="D917" s="2" t="s">
        <v>230</v>
      </c>
      <c r="E917">
        <v>2021</v>
      </c>
      <c r="F917" s="2" t="s">
        <v>6</v>
      </c>
      <c r="G917">
        <v>1</v>
      </c>
      <c r="H917" s="2" t="s">
        <v>7</v>
      </c>
      <c r="I917">
        <v>1</v>
      </c>
      <c r="J917" s="2" t="s">
        <v>16</v>
      </c>
      <c r="K917">
        <v>1</v>
      </c>
      <c r="L917" s="2" t="s">
        <v>23</v>
      </c>
      <c r="M917">
        <v>1</v>
      </c>
      <c r="N917" s="2" t="s">
        <v>37</v>
      </c>
      <c r="O917">
        <v>1</v>
      </c>
    </row>
    <row r="918" spans="1:15" x14ac:dyDescent="0.35">
      <c r="A918" s="2" t="s">
        <v>130</v>
      </c>
      <c r="B918" s="2" t="s">
        <v>49</v>
      </c>
      <c r="C918" s="2" t="s">
        <v>50</v>
      </c>
      <c r="D918" s="2" t="s">
        <v>230</v>
      </c>
      <c r="E918">
        <v>2021</v>
      </c>
      <c r="F918" s="2" t="s">
        <v>6</v>
      </c>
      <c r="G918">
        <v>1</v>
      </c>
      <c r="H918" s="2" t="s">
        <v>7</v>
      </c>
      <c r="I918">
        <v>1</v>
      </c>
      <c r="J918" s="2" t="s">
        <v>16</v>
      </c>
      <c r="K918">
        <v>1</v>
      </c>
      <c r="L918" s="2" t="s">
        <v>23</v>
      </c>
      <c r="M918">
        <v>1</v>
      </c>
      <c r="N918" s="2" t="s">
        <v>38</v>
      </c>
      <c r="O918">
        <v>1</v>
      </c>
    </row>
    <row r="919" spans="1:15" x14ac:dyDescent="0.35">
      <c r="A919" s="2" t="s">
        <v>130</v>
      </c>
      <c r="B919" s="2" t="s">
        <v>49</v>
      </c>
      <c r="C919" s="2" t="s">
        <v>50</v>
      </c>
      <c r="D919" s="2" t="s">
        <v>230</v>
      </c>
      <c r="E919">
        <v>2021</v>
      </c>
      <c r="F919" s="2" t="s">
        <v>6</v>
      </c>
      <c r="G919">
        <v>1</v>
      </c>
      <c r="H919" s="2" t="s">
        <v>7</v>
      </c>
      <c r="I919">
        <v>1</v>
      </c>
      <c r="J919" s="2" t="s">
        <v>16</v>
      </c>
      <c r="K919">
        <v>1</v>
      </c>
      <c r="L919" s="2" t="s">
        <v>23</v>
      </c>
      <c r="M919">
        <v>1</v>
      </c>
      <c r="N919" s="2" t="s">
        <v>39</v>
      </c>
      <c r="O919">
        <v>1</v>
      </c>
    </row>
    <row r="920" spans="1:15" x14ac:dyDescent="0.35">
      <c r="A920" s="2" t="s">
        <v>130</v>
      </c>
      <c r="B920" s="2" t="s">
        <v>49</v>
      </c>
      <c r="C920" s="2" t="s">
        <v>50</v>
      </c>
      <c r="D920" s="2" t="s">
        <v>230</v>
      </c>
      <c r="E920">
        <v>2021</v>
      </c>
      <c r="F920" s="2" t="s">
        <v>6</v>
      </c>
      <c r="G920">
        <v>1</v>
      </c>
      <c r="H920" s="2" t="s">
        <v>7</v>
      </c>
      <c r="I920">
        <v>1</v>
      </c>
      <c r="J920" s="2" t="s">
        <v>16</v>
      </c>
      <c r="K920">
        <v>1</v>
      </c>
      <c r="L920" s="2" t="s">
        <v>23</v>
      </c>
      <c r="M920">
        <v>1</v>
      </c>
      <c r="N920" s="2" t="s">
        <v>44</v>
      </c>
      <c r="O920">
        <v>1</v>
      </c>
    </row>
    <row r="921" spans="1:15" x14ac:dyDescent="0.35">
      <c r="A921" s="2" t="s">
        <v>131</v>
      </c>
      <c r="B921" s="2" t="s">
        <v>66</v>
      </c>
      <c r="C921" s="2" t="s">
        <v>50</v>
      </c>
      <c r="D921" s="2" t="s">
        <v>230</v>
      </c>
      <c r="E921">
        <v>2020</v>
      </c>
      <c r="F921" s="2" t="s">
        <v>6</v>
      </c>
      <c r="G921">
        <v>1</v>
      </c>
      <c r="H921" s="2" t="s">
        <v>13</v>
      </c>
      <c r="I921">
        <v>1</v>
      </c>
      <c r="J921" s="2" t="s">
        <v>14</v>
      </c>
      <c r="K921">
        <v>1</v>
      </c>
      <c r="L921" s="2" t="s">
        <v>21</v>
      </c>
      <c r="M921">
        <v>1</v>
      </c>
      <c r="N921" s="2" t="s">
        <v>43</v>
      </c>
      <c r="O921">
        <v>1</v>
      </c>
    </row>
    <row r="922" spans="1:15" x14ac:dyDescent="0.35">
      <c r="A922" s="2" t="s">
        <v>131</v>
      </c>
      <c r="B922" s="2" t="s">
        <v>66</v>
      </c>
      <c r="C922" s="2" t="s">
        <v>50</v>
      </c>
      <c r="D922" s="2" t="s">
        <v>230</v>
      </c>
      <c r="E922">
        <v>2020</v>
      </c>
      <c r="F922" s="2" t="s">
        <v>6</v>
      </c>
      <c r="G922">
        <v>1</v>
      </c>
      <c r="H922" s="2" t="s">
        <v>13</v>
      </c>
      <c r="I922">
        <v>1</v>
      </c>
      <c r="J922" s="2" t="s">
        <v>14</v>
      </c>
      <c r="K922">
        <v>1</v>
      </c>
      <c r="L922" s="2" t="s">
        <v>21</v>
      </c>
      <c r="M922">
        <v>1</v>
      </c>
      <c r="N922" s="2" t="s">
        <v>44</v>
      </c>
      <c r="O922">
        <v>1</v>
      </c>
    </row>
    <row r="923" spans="1:15" x14ac:dyDescent="0.35">
      <c r="A923" s="2" t="s">
        <v>131</v>
      </c>
      <c r="B923" s="2" t="s">
        <v>66</v>
      </c>
      <c r="C923" s="2" t="s">
        <v>50</v>
      </c>
      <c r="D923" s="2" t="s">
        <v>230</v>
      </c>
      <c r="E923">
        <v>2020</v>
      </c>
      <c r="F923" s="2" t="s">
        <v>6</v>
      </c>
      <c r="G923">
        <v>1</v>
      </c>
      <c r="H923" s="2" t="s">
        <v>13</v>
      </c>
      <c r="I923">
        <v>1</v>
      </c>
      <c r="J923" s="2" t="s">
        <v>15</v>
      </c>
      <c r="K923">
        <v>1</v>
      </c>
      <c r="L923" s="2" t="s">
        <v>21</v>
      </c>
      <c r="M923">
        <v>1</v>
      </c>
      <c r="N923" s="2" t="s">
        <v>43</v>
      </c>
      <c r="O923">
        <v>1</v>
      </c>
    </row>
    <row r="924" spans="1:15" x14ac:dyDescent="0.35">
      <c r="A924" s="2" t="s">
        <v>131</v>
      </c>
      <c r="B924" s="2" t="s">
        <v>66</v>
      </c>
      <c r="C924" s="2" t="s">
        <v>50</v>
      </c>
      <c r="D924" s="2" t="s">
        <v>230</v>
      </c>
      <c r="E924">
        <v>2020</v>
      </c>
      <c r="F924" s="2" t="s">
        <v>6</v>
      </c>
      <c r="G924">
        <v>1</v>
      </c>
      <c r="H924" s="2" t="s">
        <v>13</v>
      </c>
      <c r="I924">
        <v>1</v>
      </c>
      <c r="J924" s="2" t="s">
        <v>15</v>
      </c>
      <c r="K924">
        <v>1</v>
      </c>
      <c r="L924" s="2" t="s">
        <v>21</v>
      </c>
      <c r="M924">
        <v>1</v>
      </c>
      <c r="N924" s="2" t="s">
        <v>44</v>
      </c>
      <c r="O924">
        <v>1</v>
      </c>
    </row>
    <row r="925" spans="1:15" x14ac:dyDescent="0.35">
      <c r="A925" s="2" t="s">
        <v>153</v>
      </c>
      <c r="B925" s="2" t="s">
        <v>56</v>
      </c>
      <c r="C925" s="2" t="s">
        <v>50</v>
      </c>
      <c r="D925" s="2" t="s">
        <v>230</v>
      </c>
      <c r="E925">
        <v>2019</v>
      </c>
      <c r="F925" s="2" t="s">
        <v>2</v>
      </c>
      <c r="G925">
        <v>1</v>
      </c>
      <c r="H925" s="2" t="s">
        <v>10</v>
      </c>
      <c r="I925">
        <v>1</v>
      </c>
      <c r="J925" s="2" t="s">
        <v>14</v>
      </c>
      <c r="K925">
        <v>1</v>
      </c>
      <c r="L925" s="2" t="s">
        <v>22</v>
      </c>
      <c r="M925">
        <v>1</v>
      </c>
      <c r="N925" s="2" t="s">
        <v>31</v>
      </c>
      <c r="O925">
        <v>1</v>
      </c>
    </row>
    <row r="926" spans="1:15" x14ac:dyDescent="0.35">
      <c r="A926" s="2" t="s">
        <v>153</v>
      </c>
      <c r="B926" s="2" t="s">
        <v>56</v>
      </c>
      <c r="C926" s="2" t="s">
        <v>50</v>
      </c>
      <c r="D926" s="2" t="s">
        <v>230</v>
      </c>
      <c r="E926">
        <v>2019</v>
      </c>
      <c r="F926" s="2" t="s">
        <v>2</v>
      </c>
      <c r="G926">
        <v>1</v>
      </c>
      <c r="H926" s="2" t="s">
        <v>10</v>
      </c>
      <c r="I926">
        <v>1</v>
      </c>
      <c r="J926" s="2" t="s">
        <v>14</v>
      </c>
      <c r="K926">
        <v>1</v>
      </c>
      <c r="L926" s="2" t="s">
        <v>22</v>
      </c>
      <c r="M926">
        <v>1</v>
      </c>
      <c r="N926" s="2" t="s">
        <v>44</v>
      </c>
      <c r="O926">
        <v>1</v>
      </c>
    </row>
    <row r="927" spans="1:15" x14ac:dyDescent="0.35">
      <c r="A927" s="2" t="s">
        <v>153</v>
      </c>
      <c r="B927" s="2" t="s">
        <v>56</v>
      </c>
      <c r="C927" s="2" t="s">
        <v>50</v>
      </c>
      <c r="D927" s="2" t="s">
        <v>230</v>
      </c>
      <c r="E927">
        <v>2019</v>
      </c>
      <c r="F927" s="2" t="s">
        <v>2</v>
      </c>
      <c r="G927">
        <v>1</v>
      </c>
      <c r="H927" s="2" t="s">
        <v>10</v>
      </c>
      <c r="I927">
        <v>1</v>
      </c>
      <c r="J927" s="2" t="s">
        <v>17</v>
      </c>
      <c r="K927">
        <v>1</v>
      </c>
      <c r="L927" s="2" t="s">
        <v>22</v>
      </c>
      <c r="M927">
        <v>1</v>
      </c>
      <c r="N927" s="2" t="s">
        <v>31</v>
      </c>
      <c r="O927">
        <v>1</v>
      </c>
    </row>
    <row r="928" spans="1:15" x14ac:dyDescent="0.35">
      <c r="A928" s="2" t="s">
        <v>153</v>
      </c>
      <c r="B928" s="2" t="s">
        <v>56</v>
      </c>
      <c r="C928" s="2" t="s">
        <v>50</v>
      </c>
      <c r="D928" s="2" t="s">
        <v>230</v>
      </c>
      <c r="E928">
        <v>2019</v>
      </c>
      <c r="F928" s="2" t="s">
        <v>2</v>
      </c>
      <c r="G928">
        <v>1</v>
      </c>
      <c r="H928" s="2" t="s">
        <v>10</v>
      </c>
      <c r="I928">
        <v>1</v>
      </c>
      <c r="J928" s="2" t="s">
        <v>17</v>
      </c>
      <c r="K928">
        <v>1</v>
      </c>
      <c r="L928" s="2" t="s">
        <v>22</v>
      </c>
      <c r="M928">
        <v>1</v>
      </c>
      <c r="N928" s="2" t="s">
        <v>44</v>
      </c>
      <c r="O928">
        <v>1</v>
      </c>
    </row>
    <row r="929" spans="1:15" x14ac:dyDescent="0.35">
      <c r="A929" s="2" t="s">
        <v>153</v>
      </c>
      <c r="B929" s="2" t="s">
        <v>56</v>
      </c>
      <c r="C929" s="2" t="s">
        <v>50</v>
      </c>
      <c r="D929" s="2" t="s">
        <v>230</v>
      </c>
      <c r="E929">
        <v>2019</v>
      </c>
      <c r="F929" s="2" t="s">
        <v>4</v>
      </c>
      <c r="G929">
        <v>1</v>
      </c>
      <c r="H929" s="2" t="s">
        <v>10</v>
      </c>
      <c r="I929">
        <v>1</v>
      </c>
      <c r="J929" s="2" t="s">
        <v>14</v>
      </c>
      <c r="K929">
        <v>1</v>
      </c>
      <c r="L929" s="2" t="s">
        <v>22</v>
      </c>
      <c r="M929">
        <v>1</v>
      </c>
      <c r="N929" s="2" t="s">
        <v>31</v>
      </c>
      <c r="O929">
        <v>1</v>
      </c>
    </row>
    <row r="930" spans="1:15" x14ac:dyDescent="0.35">
      <c r="A930" s="2" t="s">
        <v>153</v>
      </c>
      <c r="B930" s="2" t="s">
        <v>56</v>
      </c>
      <c r="C930" s="2" t="s">
        <v>50</v>
      </c>
      <c r="D930" s="2" t="s">
        <v>230</v>
      </c>
      <c r="E930">
        <v>2019</v>
      </c>
      <c r="F930" s="2" t="s">
        <v>4</v>
      </c>
      <c r="G930">
        <v>1</v>
      </c>
      <c r="H930" s="2" t="s">
        <v>10</v>
      </c>
      <c r="I930">
        <v>1</v>
      </c>
      <c r="J930" s="2" t="s">
        <v>14</v>
      </c>
      <c r="K930">
        <v>1</v>
      </c>
      <c r="L930" s="2" t="s">
        <v>22</v>
      </c>
      <c r="M930">
        <v>1</v>
      </c>
      <c r="N930" s="2" t="s">
        <v>44</v>
      </c>
      <c r="O930">
        <v>1</v>
      </c>
    </row>
    <row r="931" spans="1:15" x14ac:dyDescent="0.35">
      <c r="A931" s="2" t="s">
        <v>153</v>
      </c>
      <c r="B931" s="2" t="s">
        <v>56</v>
      </c>
      <c r="C931" s="2" t="s">
        <v>50</v>
      </c>
      <c r="D931" s="2" t="s">
        <v>230</v>
      </c>
      <c r="E931">
        <v>2019</v>
      </c>
      <c r="F931" s="2" t="s">
        <v>4</v>
      </c>
      <c r="G931">
        <v>1</v>
      </c>
      <c r="H931" s="2" t="s">
        <v>10</v>
      </c>
      <c r="I931">
        <v>1</v>
      </c>
      <c r="J931" s="2" t="s">
        <v>17</v>
      </c>
      <c r="K931">
        <v>1</v>
      </c>
      <c r="L931" s="2" t="s">
        <v>22</v>
      </c>
      <c r="M931">
        <v>1</v>
      </c>
      <c r="N931" s="2" t="s">
        <v>31</v>
      </c>
      <c r="O931">
        <v>1</v>
      </c>
    </row>
    <row r="932" spans="1:15" x14ac:dyDescent="0.35">
      <c r="A932" s="2" t="s">
        <v>153</v>
      </c>
      <c r="B932" s="2" t="s">
        <v>56</v>
      </c>
      <c r="C932" s="2" t="s">
        <v>50</v>
      </c>
      <c r="D932" s="2" t="s">
        <v>230</v>
      </c>
      <c r="E932">
        <v>2019</v>
      </c>
      <c r="F932" s="2" t="s">
        <v>4</v>
      </c>
      <c r="G932">
        <v>1</v>
      </c>
      <c r="H932" s="2" t="s">
        <v>10</v>
      </c>
      <c r="I932">
        <v>1</v>
      </c>
      <c r="J932" s="2" t="s">
        <v>17</v>
      </c>
      <c r="K932">
        <v>1</v>
      </c>
      <c r="L932" s="2" t="s">
        <v>22</v>
      </c>
      <c r="M932">
        <v>1</v>
      </c>
      <c r="N932" s="2" t="s">
        <v>44</v>
      </c>
      <c r="O932">
        <v>1</v>
      </c>
    </row>
    <row r="933" spans="1:15" x14ac:dyDescent="0.35">
      <c r="A933" s="2" t="s">
        <v>161</v>
      </c>
      <c r="B933" s="2" t="s">
        <v>56</v>
      </c>
      <c r="C933" s="2" t="s">
        <v>50</v>
      </c>
      <c r="D933" s="2" t="s">
        <v>230</v>
      </c>
      <c r="E933">
        <v>2021</v>
      </c>
      <c r="F933" s="2" t="s">
        <v>6</v>
      </c>
      <c r="G933">
        <v>1</v>
      </c>
      <c r="H933" s="2" t="s">
        <v>13</v>
      </c>
      <c r="I933">
        <v>1</v>
      </c>
      <c r="J933" s="2" t="s">
        <v>14</v>
      </c>
      <c r="K933">
        <v>1</v>
      </c>
      <c r="L933" s="2" t="s">
        <v>21</v>
      </c>
      <c r="M933">
        <v>1</v>
      </c>
      <c r="N933" s="2" t="s">
        <v>32</v>
      </c>
      <c r="O933">
        <v>1</v>
      </c>
    </row>
    <row r="934" spans="1:15" x14ac:dyDescent="0.35">
      <c r="A934" s="2" t="s">
        <v>161</v>
      </c>
      <c r="B934" s="2" t="s">
        <v>56</v>
      </c>
      <c r="C934" s="2" t="s">
        <v>50</v>
      </c>
      <c r="D934" s="2" t="s">
        <v>230</v>
      </c>
      <c r="E934">
        <v>2021</v>
      </c>
      <c r="F934" s="2" t="s">
        <v>6</v>
      </c>
      <c r="G934">
        <v>1</v>
      </c>
      <c r="H934" s="2" t="s">
        <v>13</v>
      </c>
      <c r="I934">
        <v>1</v>
      </c>
      <c r="J934" s="2" t="s">
        <v>14</v>
      </c>
      <c r="K934">
        <v>1</v>
      </c>
      <c r="L934" s="2" t="s">
        <v>21</v>
      </c>
      <c r="M934">
        <v>1</v>
      </c>
      <c r="N934" s="2" t="s">
        <v>34</v>
      </c>
      <c r="O934">
        <v>1</v>
      </c>
    </row>
    <row r="935" spans="1:15" x14ac:dyDescent="0.35">
      <c r="A935" s="2" t="s">
        <v>161</v>
      </c>
      <c r="B935" s="2" t="s">
        <v>56</v>
      </c>
      <c r="C935" s="2" t="s">
        <v>50</v>
      </c>
      <c r="D935" s="2" t="s">
        <v>230</v>
      </c>
      <c r="E935">
        <v>2021</v>
      </c>
      <c r="F935" s="2" t="s">
        <v>6</v>
      </c>
      <c r="G935">
        <v>1</v>
      </c>
      <c r="H935" s="2" t="s">
        <v>13</v>
      </c>
      <c r="I935">
        <v>1</v>
      </c>
      <c r="J935" s="2" t="s">
        <v>14</v>
      </c>
      <c r="K935">
        <v>1</v>
      </c>
      <c r="L935" s="2" t="s">
        <v>21</v>
      </c>
      <c r="M935">
        <v>1</v>
      </c>
      <c r="N935" s="2" t="s">
        <v>37</v>
      </c>
      <c r="O935">
        <v>1</v>
      </c>
    </row>
    <row r="936" spans="1:15" x14ac:dyDescent="0.35">
      <c r="A936" s="2" t="s">
        <v>161</v>
      </c>
      <c r="B936" s="2" t="s">
        <v>56</v>
      </c>
      <c r="C936" s="2" t="s">
        <v>50</v>
      </c>
      <c r="D936" s="2" t="s">
        <v>230</v>
      </c>
      <c r="E936">
        <v>2021</v>
      </c>
      <c r="F936" s="2" t="s">
        <v>6</v>
      </c>
      <c r="G936">
        <v>1</v>
      </c>
      <c r="H936" s="2" t="s">
        <v>13</v>
      </c>
      <c r="I936">
        <v>1</v>
      </c>
      <c r="J936" s="2" t="s">
        <v>14</v>
      </c>
      <c r="K936">
        <v>1</v>
      </c>
      <c r="L936" s="2" t="s">
        <v>21</v>
      </c>
      <c r="M936">
        <v>1</v>
      </c>
      <c r="N936" s="2" t="s">
        <v>40</v>
      </c>
      <c r="O936">
        <v>1</v>
      </c>
    </row>
    <row r="937" spans="1:15" x14ac:dyDescent="0.35">
      <c r="A937" s="2" t="s">
        <v>161</v>
      </c>
      <c r="B937" s="2" t="s">
        <v>56</v>
      </c>
      <c r="C937" s="2" t="s">
        <v>50</v>
      </c>
      <c r="D937" s="2" t="s">
        <v>230</v>
      </c>
      <c r="E937">
        <v>2021</v>
      </c>
      <c r="F937" s="2" t="s">
        <v>6</v>
      </c>
      <c r="G937">
        <v>1</v>
      </c>
      <c r="H937" s="2" t="s">
        <v>13</v>
      </c>
      <c r="I937">
        <v>1</v>
      </c>
      <c r="J937" s="2" t="s">
        <v>14</v>
      </c>
      <c r="K937">
        <v>1</v>
      </c>
      <c r="L937" s="2" t="s">
        <v>21</v>
      </c>
      <c r="M937">
        <v>1</v>
      </c>
      <c r="N937" s="2" t="s">
        <v>44</v>
      </c>
      <c r="O937">
        <v>1</v>
      </c>
    </row>
    <row r="938" spans="1:15" x14ac:dyDescent="0.35">
      <c r="A938" s="2" t="s">
        <v>161</v>
      </c>
      <c r="B938" s="2" t="s">
        <v>56</v>
      </c>
      <c r="C938" s="2" t="s">
        <v>50</v>
      </c>
      <c r="D938" s="2" t="s">
        <v>230</v>
      </c>
      <c r="E938">
        <v>2021</v>
      </c>
      <c r="F938" s="2" t="s">
        <v>6</v>
      </c>
      <c r="G938">
        <v>1</v>
      </c>
      <c r="H938" s="2" t="s">
        <v>13</v>
      </c>
      <c r="I938">
        <v>1</v>
      </c>
      <c r="J938" s="2" t="s">
        <v>15</v>
      </c>
      <c r="K938">
        <v>1</v>
      </c>
      <c r="L938" s="2" t="s">
        <v>21</v>
      </c>
      <c r="M938">
        <v>1</v>
      </c>
      <c r="N938" s="2" t="s">
        <v>32</v>
      </c>
      <c r="O938">
        <v>1</v>
      </c>
    </row>
    <row r="939" spans="1:15" x14ac:dyDescent="0.35">
      <c r="A939" s="2" t="s">
        <v>161</v>
      </c>
      <c r="B939" s="2" t="s">
        <v>56</v>
      </c>
      <c r="C939" s="2" t="s">
        <v>50</v>
      </c>
      <c r="D939" s="2" t="s">
        <v>230</v>
      </c>
      <c r="E939">
        <v>2021</v>
      </c>
      <c r="F939" s="2" t="s">
        <v>6</v>
      </c>
      <c r="G939">
        <v>1</v>
      </c>
      <c r="H939" s="2" t="s">
        <v>13</v>
      </c>
      <c r="I939">
        <v>1</v>
      </c>
      <c r="J939" s="2" t="s">
        <v>15</v>
      </c>
      <c r="K939">
        <v>1</v>
      </c>
      <c r="L939" s="2" t="s">
        <v>21</v>
      </c>
      <c r="M939">
        <v>1</v>
      </c>
      <c r="N939" s="2" t="s">
        <v>34</v>
      </c>
      <c r="O939">
        <v>1</v>
      </c>
    </row>
    <row r="940" spans="1:15" x14ac:dyDescent="0.35">
      <c r="A940" s="2" t="s">
        <v>161</v>
      </c>
      <c r="B940" s="2" t="s">
        <v>56</v>
      </c>
      <c r="C940" s="2" t="s">
        <v>50</v>
      </c>
      <c r="D940" s="2" t="s">
        <v>230</v>
      </c>
      <c r="E940">
        <v>2021</v>
      </c>
      <c r="F940" s="2" t="s">
        <v>6</v>
      </c>
      <c r="G940">
        <v>1</v>
      </c>
      <c r="H940" s="2" t="s">
        <v>13</v>
      </c>
      <c r="I940">
        <v>1</v>
      </c>
      <c r="J940" s="2" t="s">
        <v>15</v>
      </c>
      <c r="K940">
        <v>1</v>
      </c>
      <c r="L940" s="2" t="s">
        <v>21</v>
      </c>
      <c r="M940">
        <v>1</v>
      </c>
      <c r="N940" s="2" t="s">
        <v>37</v>
      </c>
      <c r="O940">
        <v>1</v>
      </c>
    </row>
    <row r="941" spans="1:15" x14ac:dyDescent="0.35">
      <c r="A941" s="2" t="s">
        <v>161</v>
      </c>
      <c r="B941" s="2" t="s">
        <v>56</v>
      </c>
      <c r="C941" s="2" t="s">
        <v>50</v>
      </c>
      <c r="D941" s="2" t="s">
        <v>230</v>
      </c>
      <c r="E941">
        <v>2021</v>
      </c>
      <c r="F941" s="2" t="s">
        <v>6</v>
      </c>
      <c r="G941">
        <v>1</v>
      </c>
      <c r="H941" s="2" t="s">
        <v>13</v>
      </c>
      <c r="I941">
        <v>1</v>
      </c>
      <c r="J941" s="2" t="s">
        <v>15</v>
      </c>
      <c r="K941">
        <v>1</v>
      </c>
      <c r="L941" s="2" t="s">
        <v>21</v>
      </c>
      <c r="M941">
        <v>1</v>
      </c>
      <c r="N941" s="2" t="s">
        <v>40</v>
      </c>
      <c r="O941">
        <v>1</v>
      </c>
    </row>
    <row r="942" spans="1:15" x14ac:dyDescent="0.35">
      <c r="A942" s="2" t="s">
        <v>161</v>
      </c>
      <c r="B942" s="2" t="s">
        <v>56</v>
      </c>
      <c r="C942" s="2" t="s">
        <v>50</v>
      </c>
      <c r="D942" s="2" t="s">
        <v>230</v>
      </c>
      <c r="E942">
        <v>2021</v>
      </c>
      <c r="F942" s="2" t="s">
        <v>6</v>
      </c>
      <c r="G942">
        <v>1</v>
      </c>
      <c r="H942" s="2" t="s">
        <v>13</v>
      </c>
      <c r="I942">
        <v>1</v>
      </c>
      <c r="J942" s="2" t="s">
        <v>15</v>
      </c>
      <c r="K942">
        <v>1</v>
      </c>
      <c r="L942" s="2" t="s">
        <v>21</v>
      </c>
      <c r="M942">
        <v>1</v>
      </c>
      <c r="N942" s="2" t="s">
        <v>44</v>
      </c>
      <c r="O942">
        <v>1</v>
      </c>
    </row>
    <row r="943" spans="1:15" x14ac:dyDescent="0.35">
      <c r="A943" s="2" t="s">
        <v>161</v>
      </c>
      <c r="B943" s="2" t="s">
        <v>56</v>
      </c>
      <c r="C943" s="2" t="s">
        <v>50</v>
      </c>
      <c r="D943" s="2" t="s">
        <v>230</v>
      </c>
      <c r="E943">
        <v>2021</v>
      </c>
      <c r="F943" s="2" t="s">
        <v>6</v>
      </c>
      <c r="G943">
        <v>1</v>
      </c>
      <c r="H943" s="2" t="s">
        <v>13</v>
      </c>
      <c r="I943">
        <v>1</v>
      </c>
      <c r="J943" s="2" t="s">
        <v>16</v>
      </c>
      <c r="K943">
        <v>1</v>
      </c>
      <c r="L943" s="2" t="s">
        <v>21</v>
      </c>
      <c r="M943">
        <v>1</v>
      </c>
      <c r="N943" s="2" t="s">
        <v>32</v>
      </c>
      <c r="O943">
        <v>1</v>
      </c>
    </row>
    <row r="944" spans="1:15" x14ac:dyDescent="0.35">
      <c r="A944" s="2" t="s">
        <v>161</v>
      </c>
      <c r="B944" s="2" t="s">
        <v>56</v>
      </c>
      <c r="C944" s="2" t="s">
        <v>50</v>
      </c>
      <c r="D944" s="2" t="s">
        <v>230</v>
      </c>
      <c r="E944">
        <v>2021</v>
      </c>
      <c r="F944" s="2" t="s">
        <v>6</v>
      </c>
      <c r="G944">
        <v>1</v>
      </c>
      <c r="H944" s="2" t="s">
        <v>13</v>
      </c>
      <c r="I944">
        <v>1</v>
      </c>
      <c r="J944" s="2" t="s">
        <v>16</v>
      </c>
      <c r="K944">
        <v>1</v>
      </c>
      <c r="L944" s="2" t="s">
        <v>21</v>
      </c>
      <c r="M944">
        <v>1</v>
      </c>
      <c r="N944" s="2" t="s">
        <v>34</v>
      </c>
      <c r="O944">
        <v>1</v>
      </c>
    </row>
    <row r="945" spans="1:15" x14ac:dyDescent="0.35">
      <c r="A945" s="2" t="s">
        <v>161</v>
      </c>
      <c r="B945" s="2" t="s">
        <v>56</v>
      </c>
      <c r="C945" s="2" t="s">
        <v>50</v>
      </c>
      <c r="D945" s="2" t="s">
        <v>230</v>
      </c>
      <c r="E945">
        <v>2021</v>
      </c>
      <c r="F945" s="2" t="s">
        <v>6</v>
      </c>
      <c r="G945">
        <v>1</v>
      </c>
      <c r="H945" s="2" t="s">
        <v>13</v>
      </c>
      <c r="I945">
        <v>1</v>
      </c>
      <c r="J945" s="2" t="s">
        <v>16</v>
      </c>
      <c r="K945">
        <v>1</v>
      </c>
      <c r="L945" s="2" t="s">
        <v>21</v>
      </c>
      <c r="M945">
        <v>1</v>
      </c>
      <c r="N945" s="2" t="s">
        <v>37</v>
      </c>
      <c r="O945">
        <v>1</v>
      </c>
    </row>
    <row r="946" spans="1:15" x14ac:dyDescent="0.35">
      <c r="A946" s="2" t="s">
        <v>161</v>
      </c>
      <c r="B946" s="2" t="s">
        <v>56</v>
      </c>
      <c r="C946" s="2" t="s">
        <v>50</v>
      </c>
      <c r="D946" s="2" t="s">
        <v>230</v>
      </c>
      <c r="E946">
        <v>2021</v>
      </c>
      <c r="F946" s="2" t="s">
        <v>6</v>
      </c>
      <c r="G946">
        <v>1</v>
      </c>
      <c r="H946" s="2" t="s">
        <v>13</v>
      </c>
      <c r="I946">
        <v>1</v>
      </c>
      <c r="J946" s="2" t="s">
        <v>16</v>
      </c>
      <c r="K946">
        <v>1</v>
      </c>
      <c r="L946" s="2" t="s">
        <v>21</v>
      </c>
      <c r="M946">
        <v>1</v>
      </c>
      <c r="N946" s="2" t="s">
        <v>40</v>
      </c>
      <c r="O946">
        <v>1</v>
      </c>
    </row>
    <row r="947" spans="1:15" x14ac:dyDescent="0.35">
      <c r="A947" s="2" t="s">
        <v>161</v>
      </c>
      <c r="B947" s="2" t="s">
        <v>56</v>
      </c>
      <c r="C947" s="2" t="s">
        <v>50</v>
      </c>
      <c r="D947" s="2" t="s">
        <v>230</v>
      </c>
      <c r="E947">
        <v>2021</v>
      </c>
      <c r="F947" s="2" t="s">
        <v>6</v>
      </c>
      <c r="G947">
        <v>1</v>
      </c>
      <c r="H947" s="2" t="s">
        <v>13</v>
      </c>
      <c r="I947">
        <v>1</v>
      </c>
      <c r="J947" s="2" t="s">
        <v>16</v>
      </c>
      <c r="K947">
        <v>1</v>
      </c>
      <c r="L947" s="2" t="s">
        <v>21</v>
      </c>
      <c r="M947">
        <v>1</v>
      </c>
      <c r="N947" s="2" t="s">
        <v>44</v>
      </c>
      <c r="O947">
        <v>1</v>
      </c>
    </row>
    <row r="948" spans="1:15" x14ac:dyDescent="0.35">
      <c r="A948" s="2" t="s">
        <v>161</v>
      </c>
      <c r="B948" s="2" t="s">
        <v>56</v>
      </c>
      <c r="C948" s="2" t="s">
        <v>50</v>
      </c>
      <c r="D948" s="2" t="s">
        <v>230</v>
      </c>
      <c r="E948">
        <v>2021</v>
      </c>
      <c r="F948" s="2" t="s">
        <v>6</v>
      </c>
      <c r="G948">
        <v>1</v>
      </c>
      <c r="H948" s="2" t="s">
        <v>13</v>
      </c>
      <c r="I948">
        <v>1</v>
      </c>
      <c r="J948" s="2" t="s">
        <v>17</v>
      </c>
      <c r="K948">
        <v>1</v>
      </c>
      <c r="L948" s="2" t="s">
        <v>21</v>
      </c>
      <c r="M948">
        <v>1</v>
      </c>
      <c r="N948" s="2" t="s">
        <v>32</v>
      </c>
      <c r="O948">
        <v>1</v>
      </c>
    </row>
    <row r="949" spans="1:15" x14ac:dyDescent="0.35">
      <c r="A949" s="2" t="s">
        <v>161</v>
      </c>
      <c r="B949" s="2" t="s">
        <v>56</v>
      </c>
      <c r="C949" s="2" t="s">
        <v>50</v>
      </c>
      <c r="D949" s="2" t="s">
        <v>230</v>
      </c>
      <c r="E949">
        <v>2021</v>
      </c>
      <c r="F949" s="2" t="s">
        <v>6</v>
      </c>
      <c r="G949">
        <v>1</v>
      </c>
      <c r="H949" s="2" t="s">
        <v>13</v>
      </c>
      <c r="I949">
        <v>1</v>
      </c>
      <c r="J949" s="2" t="s">
        <v>17</v>
      </c>
      <c r="K949">
        <v>1</v>
      </c>
      <c r="L949" s="2" t="s">
        <v>21</v>
      </c>
      <c r="M949">
        <v>1</v>
      </c>
      <c r="N949" s="2" t="s">
        <v>34</v>
      </c>
      <c r="O949">
        <v>1</v>
      </c>
    </row>
    <row r="950" spans="1:15" x14ac:dyDescent="0.35">
      <c r="A950" s="2" t="s">
        <v>161</v>
      </c>
      <c r="B950" s="2" t="s">
        <v>56</v>
      </c>
      <c r="C950" s="2" t="s">
        <v>50</v>
      </c>
      <c r="D950" s="2" t="s">
        <v>230</v>
      </c>
      <c r="E950">
        <v>2021</v>
      </c>
      <c r="F950" s="2" t="s">
        <v>6</v>
      </c>
      <c r="G950">
        <v>1</v>
      </c>
      <c r="H950" s="2" t="s">
        <v>13</v>
      </c>
      <c r="I950">
        <v>1</v>
      </c>
      <c r="J950" s="2" t="s">
        <v>17</v>
      </c>
      <c r="K950">
        <v>1</v>
      </c>
      <c r="L950" s="2" t="s">
        <v>21</v>
      </c>
      <c r="M950">
        <v>1</v>
      </c>
      <c r="N950" s="2" t="s">
        <v>37</v>
      </c>
      <c r="O950">
        <v>1</v>
      </c>
    </row>
    <row r="951" spans="1:15" x14ac:dyDescent="0.35">
      <c r="A951" s="2" t="s">
        <v>161</v>
      </c>
      <c r="B951" s="2" t="s">
        <v>56</v>
      </c>
      <c r="C951" s="2" t="s">
        <v>50</v>
      </c>
      <c r="D951" s="2" t="s">
        <v>230</v>
      </c>
      <c r="E951">
        <v>2021</v>
      </c>
      <c r="F951" s="2" t="s">
        <v>6</v>
      </c>
      <c r="G951">
        <v>1</v>
      </c>
      <c r="H951" s="2" t="s">
        <v>13</v>
      </c>
      <c r="I951">
        <v>1</v>
      </c>
      <c r="J951" s="2" t="s">
        <v>17</v>
      </c>
      <c r="K951">
        <v>1</v>
      </c>
      <c r="L951" s="2" t="s">
        <v>21</v>
      </c>
      <c r="M951">
        <v>1</v>
      </c>
      <c r="N951" s="2" t="s">
        <v>40</v>
      </c>
      <c r="O951">
        <v>1</v>
      </c>
    </row>
    <row r="952" spans="1:15" x14ac:dyDescent="0.35">
      <c r="A952" s="2" t="s">
        <v>161</v>
      </c>
      <c r="B952" s="2" t="s">
        <v>56</v>
      </c>
      <c r="C952" s="2" t="s">
        <v>50</v>
      </c>
      <c r="D952" s="2" t="s">
        <v>230</v>
      </c>
      <c r="E952">
        <v>2021</v>
      </c>
      <c r="F952" s="2" t="s">
        <v>6</v>
      </c>
      <c r="G952">
        <v>1</v>
      </c>
      <c r="H952" s="2" t="s">
        <v>13</v>
      </c>
      <c r="I952">
        <v>1</v>
      </c>
      <c r="J952" s="2" t="s">
        <v>17</v>
      </c>
      <c r="K952">
        <v>1</v>
      </c>
      <c r="L952" s="2" t="s">
        <v>21</v>
      </c>
      <c r="M952">
        <v>1</v>
      </c>
      <c r="N952" s="2" t="s">
        <v>44</v>
      </c>
      <c r="O952">
        <v>1</v>
      </c>
    </row>
    <row r="953" spans="1:15" x14ac:dyDescent="0.35">
      <c r="A953" s="2" t="s">
        <v>166</v>
      </c>
      <c r="B953" s="2" t="s">
        <v>49</v>
      </c>
      <c r="C953" s="2" t="s">
        <v>50</v>
      </c>
      <c r="D953" s="2" t="s">
        <v>230</v>
      </c>
      <c r="E953">
        <v>2019</v>
      </c>
      <c r="F953" s="2" t="s">
        <v>2</v>
      </c>
      <c r="G953">
        <v>1</v>
      </c>
      <c r="H953" s="2" t="s">
        <v>10</v>
      </c>
      <c r="I953">
        <v>1</v>
      </c>
      <c r="J953" s="2" t="s">
        <v>14</v>
      </c>
      <c r="K953">
        <v>1</v>
      </c>
      <c r="L953" s="2" t="s">
        <v>21</v>
      </c>
      <c r="M953">
        <v>1</v>
      </c>
      <c r="N953" s="2" t="s">
        <v>31</v>
      </c>
      <c r="O953">
        <v>1</v>
      </c>
    </row>
    <row r="954" spans="1:15" x14ac:dyDescent="0.35">
      <c r="A954" s="2" t="s">
        <v>166</v>
      </c>
      <c r="B954" s="2" t="s">
        <v>49</v>
      </c>
      <c r="C954" s="2" t="s">
        <v>50</v>
      </c>
      <c r="D954" s="2" t="s">
        <v>230</v>
      </c>
      <c r="E954">
        <v>2019</v>
      </c>
      <c r="F954" s="2" t="s">
        <v>2</v>
      </c>
      <c r="G954">
        <v>1</v>
      </c>
      <c r="H954" s="2" t="s">
        <v>10</v>
      </c>
      <c r="I954">
        <v>1</v>
      </c>
      <c r="J954" s="2" t="s">
        <v>14</v>
      </c>
      <c r="K954">
        <v>1</v>
      </c>
      <c r="L954" s="2" t="s">
        <v>21</v>
      </c>
      <c r="M954">
        <v>1</v>
      </c>
      <c r="N954" s="2" t="s">
        <v>44</v>
      </c>
      <c r="O954">
        <v>1</v>
      </c>
    </row>
    <row r="955" spans="1:15" x14ac:dyDescent="0.35">
      <c r="A955" s="2" t="s">
        <v>166</v>
      </c>
      <c r="B955" s="2" t="s">
        <v>49</v>
      </c>
      <c r="C955" s="2" t="s">
        <v>50</v>
      </c>
      <c r="D955" s="2" t="s">
        <v>230</v>
      </c>
      <c r="E955">
        <v>2019</v>
      </c>
      <c r="F955" s="2" t="s">
        <v>2</v>
      </c>
      <c r="G955">
        <v>1</v>
      </c>
      <c r="H955" s="2" t="s">
        <v>10</v>
      </c>
      <c r="I955">
        <v>1</v>
      </c>
      <c r="J955" s="2" t="s">
        <v>14</v>
      </c>
      <c r="K955">
        <v>1</v>
      </c>
      <c r="L955" s="2" t="s">
        <v>22</v>
      </c>
      <c r="M955">
        <v>1</v>
      </c>
      <c r="N955" s="2" t="s">
        <v>31</v>
      </c>
      <c r="O955">
        <v>1</v>
      </c>
    </row>
    <row r="956" spans="1:15" x14ac:dyDescent="0.35">
      <c r="A956" s="2" t="s">
        <v>166</v>
      </c>
      <c r="B956" s="2" t="s">
        <v>49</v>
      </c>
      <c r="C956" s="2" t="s">
        <v>50</v>
      </c>
      <c r="D956" s="2" t="s">
        <v>230</v>
      </c>
      <c r="E956">
        <v>2019</v>
      </c>
      <c r="F956" s="2" t="s">
        <v>2</v>
      </c>
      <c r="G956">
        <v>1</v>
      </c>
      <c r="H956" s="2" t="s">
        <v>10</v>
      </c>
      <c r="I956">
        <v>1</v>
      </c>
      <c r="J956" s="2" t="s">
        <v>14</v>
      </c>
      <c r="K956">
        <v>1</v>
      </c>
      <c r="L956" s="2" t="s">
        <v>22</v>
      </c>
      <c r="M956">
        <v>1</v>
      </c>
      <c r="N956" s="2" t="s">
        <v>44</v>
      </c>
      <c r="O956">
        <v>1</v>
      </c>
    </row>
    <row r="957" spans="1:15" x14ac:dyDescent="0.35">
      <c r="A957" s="2" t="s">
        <v>170</v>
      </c>
      <c r="B957" s="2" t="s">
        <v>56</v>
      </c>
      <c r="C957" s="2" t="s">
        <v>50</v>
      </c>
      <c r="D957" s="2" t="s">
        <v>230</v>
      </c>
      <c r="E957">
        <v>2012</v>
      </c>
      <c r="F957" s="2" t="s">
        <v>6</v>
      </c>
      <c r="G957">
        <v>1</v>
      </c>
      <c r="H957" s="2" t="s">
        <v>9</v>
      </c>
      <c r="I957">
        <v>1</v>
      </c>
      <c r="J957" s="2" t="s">
        <v>14</v>
      </c>
      <c r="K957">
        <v>1</v>
      </c>
      <c r="L957" s="2" t="s">
        <v>21</v>
      </c>
      <c r="M957">
        <v>1</v>
      </c>
      <c r="N957" s="2" t="s">
        <v>44</v>
      </c>
      <c r="O957">
        <v>1</v>
      </c>
    </row>
    <row r="958" spans="1:15" x14ac:dyDescent="0.35">
      <c r="A958" s="2" t="s">
        <v>178</v>
      </c>
      <c r="B958" s="2" t="s">
        <v>49</v>
      </c>
      <c r="C958" s="2" t="s">
        <v>50</v>
      </c>
      <c r="D958" s="2" t="s">
        <v>230</v>
      </c>
      <c r="E958">
        <v>2020</v>
      </c>
      <c r="F958" s="2" t="s">
        <v>6</v>
      </c>
      <c r="G958">
        <v>1</v>
      </c>
      <c r="H958" s="2" t="s">
        <v>10</v>
      </c>
      <c r="I958">
        <v>1</v>
      </c>
      <c r="J958" s="2" t="s">
        <v>14</v>
      </c>
      <c r="K958">
        <v>1</v>
      </c>
      <c r="L958" s="2" t="s">
        <v>19</v>
      </c>
      <c r="M958">
        <v>1</v>
      </c>
      <c r="N958" s="2" t="s">
        <v>27</v>
      </c>
      <c r="O958">
        <v>1</v>
      </c>
    </row>
    <row r="959" spans="1:15" x14ac:dyDescent="0.35">
      <c r="A959" s="2" t="s">
        <v>178</v>
      </c>
      <c r="B959" s="2" t="s">
        <v>49</v>
      </c>
      <c r="C959" s="2" t="s">
        <v>50</v>
      </c>
      <c r="D959" s="2" t="s">
        <v>230</v>
      </c>
      <c r="E959">
        <v>2020</v>
      </c>
      <c r="F959" s="2" t="s">
        <v>6</v>
      </c>
      <c r="G959">
        <v>1</v>
      </c>
      <c r="H959" s="2" t="s">
        <v>10</v>
      </c>
      <c r="I959">
        <v>1</v>
      </c>
      <c r="J959" s="2" t="s">
        <v>14</v>
      </c>
      <c r="K959">
        <v>1</v>
      </c>
      <c r="L959" s="2" t="s">
        <v>19</v>
      </c>
      <c r="M959">
        <v>1</v>
      </c>
      <c r="N959" s="2" t="s">
        <v>44</v>
      </c>
      <c r="O959">
        <v>1</v>
      </c>
    </row>
    <row r="960" spans="1:15" x14ac:dyDescent="0.35">
      <c r="A960" s="2" t="s">
        <v>178</v>
      </c>
      <c r="B960" s="2" t="s">
        <v>49</v>
      </c>
      <c r="C960" s="2" t="s">
        <v>50</v>
      </c>
      <c r="D960" s="2" t="s">
        <v>230</v>
      </c>
      <c r="E960">
        <v>2020</v>
      </c>
      <c r="F960" s="2" t="s">
        <v>6</v>
      </c>
      <c r="G960">
        <v>1</v>
      </c>
      <c r="H960" s="2" t="s">
        <v>10</v>
      </c>
      <c r="I960">
        <v>1</v>
      </c>
      <c r="J960" s="2" t="s">
        <v>16</v>
      </c>
      <c r="K960">
        <v>1</v>
      </c>
      <c r="L960" s="2" t="s">
        <v>19</v>
      </c>
      <c r="M960">
        <v>1</v>
      </c>
      <c r="N960" s="2" t="s">
        <v>27</v>
      </c>
      <c r="O960">
        <v>1</v>
      </c>
    </row>
    <row r="961" spans="1:15" x14ac:dyDescent="0.35">
      <c r="A961" s="2" t="s">
        <v>178</v>
      </c>
      <c r="B961" s="2" t="s">
        <v>49</v>
      </c>
      <c r="C961" s="2" t="s">
        <v>50</v>
      </c>
      <c r="D961" s="2" t="s">
        <v>230</v>
      </c>
      <c r="E961">
        <v>2020</v>
      </c>
      <c r="F961" s="2" t="s">
        <v>6</v>
      </c>
      <c r="G961">
        <v>1</v>
      </c>
      <c r="H961" s="2" t="s">
        <v>10</v>
      </c>
      <c r="I961">
        <v>1</v>
      </c>
      <c r="J961" s="2" t="s">
        <v>16</v>
      </c>
      <c r="K961">
        <v>1</v>
      </c>
      <c r="L961" s="2" t="s">
        <v>19</v>
      </c>
      <c r="M961">
        <v>1</v>
      </c>
      <c r="N961" s="2" t="s">
        <v>44</v>
      </c>
      <c r="O961">
        <v>1</v>
      </c>
    </row>
    <row r="962" spans="1:15" x14ac:dyDescent="0.35">
      <c r="A962" s="2" t="s">
        <v>88</v>
      </c>
      <c r="B962" s="2" t="s">
        <v>49</v>
      </c>
      <c r="C962" s="2" t="s">
        <v>52</v>
      </c>
      <c r="D962" s="2" t="s">
        <v>231</v>
      </c>
      <c r="E962">
        <v>2021</v>
      </c>
      <c r="F962" s="2" t="s">
        <v>4</v>
      </c>
      <c r="G962">
        <v>1</v>
      </c>
      <c r="H962" s="2" t="s">
        <v>13</v>
      </c>
      <c r="I962">
        <v>1</v>
      </c>
      <c r="J962" s="2" t="s">
        <v>15</v>
      </c>
      <c r="K962">
        <v>1</v>
      </c>
      <c r="L962" s="2" t="s">
        <v>24</v>
      </c>
      <c r="M962">
        <v>1</v>
      </c>
      <c r="N962" s="2" t="s">
        <v>37</v>
      </c>
      <c r="O962">
        <v>1</v>
      </c>
    </row>
    <row r="963" spans="1:15" x14ac:dyDescent="0.35">
      <c r="A963" s="2" t="s">
        <v>88</v>
      </c>
      <c r="B963" s="2" t="s">
        <v>49</v>
      </c>
      <c r="C963" s="2" t="s">
        <v>52</v>
      </c>
      <c r="D963" s="2" t="s">
        <v>231</v>
      </c>
      <c r="E963">
        <v>2021</v>
      </c>
      <c r="F963" s="2" t="s">
        <v>4</v>
      </c>
      <c r="G963">
        <v>1</v>
      </c>
      <c r="H963" s="2" t="s">
        <v>13</v>
      </c>
      <c r="I963">
        <v>1</v>
      </c>
      <c r="J963" s="2" t="s">
        <v>15</v>
      </c>
      <c r="K963">
        <v>1</v>
      </c>
      <c r="L963" s="2" t="s">
        <v>24</v>
      </c>
      <c r="M963">
        <v>1</v>
      </c>
      <c r="N963" s="2" t="s">
        <v>38</v>
      </c>
      <c r="O963">
        <v>1</v>
      </c>
    </row>
    <row r="964" spans="1:15" x14ac:dyDescent="0.35">
      <c r="A964" s="2" t="s">
        <v>88</v>
      </c>
      <c r="B964" s="2" t="s">
        <v>49</v>
      </c>
      <c r="C964" s="2" t="s">
        <v>52</v>
      </c>
      <c r="D964" s="2" t="s">
        <v>231</v>
      </c>
      <c r="E964">
        <v>2021</v>
      </c>
      <c r="F964" s="2" t="s">
        <v>4</v>
      </c>
      <c r="G964">
        <v>1</v>
      </c>
      <c r="H964" s="2" t="s">
        <v>13</v>
      </c>
      <c r="I964">
        <v>1</v>
      </c>
      <c r="J964" s="2" t="s">
        <v>16</v>
      </c>
      <c r="K964">
        <v>1</v>
      </c>
      <c r="L964" s="2" t="s">
        <v>24</v>
      </c>
      <c r="M964">
        <v>1</v>
      </c>
      <c r="N964" s="2" t="s">
        <v>37</v>
      </c>
      <c r="O964">
        <v>1</v>
      </c>
    </row>
    <row r="965" spans="1:15" x14ac:dyDescent="0.35">
      <c r="A965" s="2" t="s">
        <v>88</v>
      </c>
      <c r="B965" s="2" t="s">
        <v>49</v>
      </c>
      <c r="C965" s="2" t="s">
        <v>52</v>
      </c>
      <c r="D965" s="2" t="s">
        <v>231</v>
      </c>
      <c r="E965">
        <v>2021</v>
      </c>
      <c r="F965" s="2" t="s">
        <v>4</v>
      </c>
      <c r="G965">
        <v>1</v>
      </c>
      <c r="H965" s="2" t="s">
        <v>13</v>
      </c>
      <c r="I965">
        <v>1</v>
      </c>
      <c r="J965" s="2" t="s">
        <v>16</v>
      </c>
      <c r="K965">
        <v>1</v>
      </c>
      <c r="L965" s="2" t="s">
        <v>24</v>
      </c>
      <c r="M965">
        <v>1</v>
      </c>
      <c r="N965" s="2" t="s">
        <v>38</v>
      </c>
      <c r="O965">
        <v>1</v>
      </c>
    </row>
    <row r="966" spans="1:15" x14ac:dyDescent="0.35">
      <c r="A966" s="2" t="s">
        <v>88</v>
      </c>
      <c r="B966" s="2" t="s">
        <v>49</v>
      </c>
      <c r="C966" s="2" t="s">
        <v>52</v>
      </c>
      <c r="D966" s="2" t="s">
        <v>231</v>
      </c>
      <c r="E966">
        <v>2021</v>
      </c>
      <c r="F966" s="2" t="s">
        <v>4</v>
      </c>
      <c r="G966">
        <v>1</v>
      </c>
      <c r="H966" s="2" t="s">
        <v>13</v>
      </c>
      <c r="I966">
        <v>1</v>
      </c>
      <c r="J966" s="2" t="s">
        <v>17</v>
      </c>
      <c r="K966">
        <v>1</v>
      </c>
      <c r="L966" s="2" t="s">
        <v>24</v>
      </c>
      <c r="M966">
        <v>1</v>
      </c>
      <c r="N966" s="2" t="s">
        <v>37</v>
      </c>
      <c r="O966">
        <v>1</v>
      </c>
    </row>
    <row r="967" spans="1:15" x14ac:dyDescent="0.35">
      <c r="A967" s="2" t="s">
        <v>88</v>
      </c>
      <c r="B967" s="2" t="s">
        <v>49</v>
      </c>
      <c r="C967" s="2" t="s">
        <v>52</v>
      </c>
      <c r="D967" s="2" t="s">
        <v>231</v>
      </c>
      <c r="E967">
        <v>2021</v>
      </c>
      <c r="F967" s="2" t="s">
        <v>4</v>
      </c>
      <c r="G967">
        <v>1</v>
      </c>
      <c r="H967" s="2" t="s">
        <v>13</v>
      </c>
      <c r="I967">
        <v>1</v>
      </c>
      <c r="J967" s="2" t="s">
        <v>17</v>
      </c>
      <c r="K967">
        <v>1</v>
      </c>
      <c r="L967" s="2" t="s">
        <v>24</v>
      </c>
      <c r="M967">
        <v>1</v>
      </c>
      <c r="N967" s="2" t="s">
        <v>38</v>
      </c>
      <c r="O967">
        <v>1</v>
      </c>
    </row>
    <row r="968" spans="1:15" x14ac:dyDescent="0.35">
      <c r="A968" s="2" t="s">
        <v>97</v>
      </c>
      <c r="B968" s="2" t="s">
        <v>56</v>
      </c>
      <c r="C968" s="2" t="s">
        <v>238</v>
      </c>
      <c r="D968" s="2" t="s">
        <v>231</v>
      </c>
      <c r="E968">
        <v>2018</v>
      </c>
      <c r="F968" s="2" t="s">
        <v>2</v>
      </c>
      <c r="G968">
        <v>1</v>
      </c>
      <c r="H968" s="2" t="s">
        <v>7</v>
      </c>
      <c r="I968">
        <v>1</v>
      </c>
      <c r="J968" s="2" t="s">
        <v>16</v>
      </c>
      <c r="K968">
        <v>1</v>
      </c>
      <c r="L968" s="2" t="s">
        <v>22</v>
      </c>
      <c r="M968">
        <v>1</v>
      </c>
      <c r="N968" s="2" t="s">
        <v>37</v>
      </c>
      <c r="O968">
        <v>1</v>
      </c>
    </row>
    <row r="969" spans="1:15" x14ac:dyDescent="0.35">
      <c r="A969" s="2" t="s">
        <v>97</v>
      </c>
      <c r="B969" s="2" t="s">
        <v>56</v>
      </c>
      <c r="C969" s="2" t="s">
        <v>238</v>
      </c>
      <c r="D969" s="2" t="s">
        <v>231</v>
      </c>
      <c r="E969">
        <v>2018</v>
      </c>
      <c r="F969" s="2" t="s">
        <v>2</v>
      </c>
      <c r="G969">
        <v>1</v>
      </c>
      <c r="H969" s="2" t="s">
        <v>7</v>
      </c>
      <c r="I969">
        <v>1</v>
      </c>
      <c r="J969" s="2" t="s">
        <v>16</v>
      </c>
      <c r="K969">
        <v>1</v>
      </c>
      <c r="L969" s="2" t="s">
        <v>22</v>
      </c>
      <c r="M969">
        <v>1</v>
      </c>
      <c r="N969" s="2" t="s">
        <v>40</v>
      </c>
      <c r="O969">
        <v>1</v>
      </c>
    </row>
    <row r="970" spans="1:15" x14ac:dyDescent="0.35">
      <c r="A970" s="2" t="s">
        <v>97</v>
      </c>
      <c r="B970" s="2" t="s">
        <v>56</v>
      </c>
      <c r="C970" s="2" t="s">
        <v>238</v>
      </c>
      <c r="D970" s="2" t="s">
        <v>231</v>
      </c>
      <c r="E970">
        <v>2018</v>
      </c>
      <c r="F970" s="2" t="s">
        <v>2</v>
      </c>
      <c r="G970">
        <v>1</v>
      </c>
      <c r="H970" s="2" t="s">
        <v>7</v>
      </c>
      <c r="I970">
        <v>1</v>
      </c>
      <c r="J970" s="2" t="s">
        <v>16</v>
      </c>
      <c r="K970">
        <v>1</v>
      </c>
      <c r="L970" s="2" t="s">
        <v>22</v>
      </c>
      <c r="M970">
        <v>1</v>
      </c>
      <c r="N970" s="2" t="s">
        <v>41</v>
      </c>
      <c r="O970">
        <v>1</v>
      </c>
    </row>
    <row r="971" spans="1:15" x14ac:dyDescent="0.35">
      <c r="A971" s="2" t="s">
        <v>97</v>
      </c>
      <c r="B971" s="2" t="s">
        <v>56</v>
      </c>
      <c r="C971" s="2" t="s">
        <v>238</v>
      </c>
      <c r="D971" s="2" t="s">
        <v>231</v>
      </c>
      <c r="E971">
        <v>2018</v>
      </c>
      <c r="F971" s="2" t="s">
        <v>2</v>
      </c>
      <c r="G971">
        <v>1</v>
      </c>
      <c r="H971" s="2" t="s">
        <v>7</v>
      </c>
      <c r="I971">
        <v>1</v>
      </c>
      <c r="J971" s="2" t="s">
        <v>16</v>
      </c>
      <c r="K971">
        <v>1</v>
      </c>
      <c r="L971" s="2" t="s">
        <v>22</v>
      </c>
      <c r="M971">
        <v>1</v>
      </c>
      <c r="N971" s="2" t="s">
        <v>44</v>
      </c>
      <c r="O971">
        <v>1</v>
      </c>
    </row>
    <row r="972" spans="1:15" x14ac:dyDescent="0.35">
      <c r="A972" s="2" t="s">
        <v>97</v>
      </c>
      <c r="B972" s="2" t="s">
        <v>56</v>
      </c>
      <c r="C972" s="2" t="s">
        <v>238</v>
      </c>
      <c r="D972" s="2" t="s">
        <v>231</v>
      </c>
      <c r="E972">
        <v>2018</v>
      </c>
      <c r="F972" s="2" t="s">
        <v>2</v>
      </c>
      <c r="G972">
        <v>1</v>
      </c>
      <c r="H972" s="2" t="s">
        <v>7</v>
      </c>
      <c r="I972">
        <v>1</v>
      </c>
      <c r="J972" s="2" t="s">
        <v>16</v>
      </c>
      <c r="K972">
        <v>1</v>
      </c>
      <c r="L972" s="2" t="s">
        <v>22</v>
      </c>
      <c r="M972">
        <v>1</v>
      </c>
      <c r="N972" s="2" t="s">
        <v>46</v>
      </c>
      <c r="O972">
        <v>1</v>
      </c>
    </row>
    <row r="973" spans="1:15" x14ac:dyDescent="0.35">
      <c r="A973" s="2" t="s">
        <v>97</v>
      </c>
      <c r="B973" s="2" t="s">
        <v>56</v>
      </c>
      <c r="C973" s="2" t="s">
        <v>238</v>
      </c>
      <c r="D973" s="2" t="s">
        <v>231</v>
      </c>
      <c r="E973">
        <v>2018</v>
      </c>
      <c r="F973" s="2" t="s">
        <v>2</v>
      </c>
      <c r="G973">
        <v>1</v>
      </c>
      <c r="H973" s="2" t="s">
        <v>7</v>
      </c>
      <c r="I973">
        <v>1</v>
      </c>
      <c r="J973" s="2" t="s">
        <v>16</v>
      </c>
      <c r="K973">
        <v>1</v>
      </c>
      <c r="L973" s="2" t="s">
        <v>24</v>
      </c>
      <c r="M973">
        <v>1</v>
      </c>
      <c r="N973" s="2" t="s">
        <v>37</v>
      </c>
      <c r="O973">
        <v>1</v>
      </c>
    </row>
    <row r="974" spans="1:15" x14ac:dyDescent="0.35">
      <c r="A974" s="2" t="s">
        <v>97</v>
      </c>
      <c r="B974" s="2" t="s">
        <v>56</v>
      </c>
      <c r="C974" s="2" t="s">
        <v>238</v>
      </c>
      <c r="D974" s="2" t="s">
        <v>231</v>
      </c>
      <c r="E974">
        <v>2018</v>
      </c>
      <c r="F974" s="2" t="s">
        <v>2</v>
      </c>
      <c r="G974">
        <v>1</v>
      </c>
      <c r="H974" s="2" t="s">
        <v>7</v>
      </c>
      <c r="I974">
        <v>1</v>
      </c>
      <c r="J974" s="2" t="s">
        <v>16</v>
      </c>
      <c r="K974">
        <v>1</v>
      </c>
      <c r="L974" s="2" t="s">
        <v>24</v>
      </c>
      <c r="M974">
        <v>1</v>
      </c>
      <c r="N974" s="2" t="s">
        <v>40</v>
      </c>
      <c r="O974">
        <v>1</v>
      </c>
    </row>
    <row r="975" spans="1:15" x14ac:dyDescent="0.35">
      <c r="A975" s="2" t="s">
        <v>97</v>
      </c>
      <c r="B975" s="2" t="s">
        <v>56</v>
      </c>
      <c r="C975" s="2" t="s">
        <v>238</v>
      </c>
      <c r="D975" s="2" t="s">
        <v>231</v>
      </c>
      <c r="E975">
        <v>2018</v>
      </c>
      <c r="F975" s="2" t="s">
        <v>2</v>
      </c>
      <c r="G975">
        <v>1</v>
      </c>
      <c r="H975" s="2" t="s">
        <v>7</v>
      </c>
      <c r="I975">
        <v>1</v>
      </c>
      <c r="J975" s="2" t="s">
        <v>16</v>
      </c>
      <c r="K975">
        <v>1</v>
      </c>
      <c r="L975" s="2" t="s">
        <v>24</v>
      </c>
      <c r="M975">
        <v>1</v>
      </c>
      <c r="N975" s="2" t="s">
        <v>41</v>
      </c>
      <c r="O975">
        <v>1</v>
      </c>
    </row>
    <row r="976" spans="1:15" x14ac:dyDescent="0.35">
      <c r="A976" s="2" t="s">
        <v>97</v>
      </c>
      <c r="B976" s="2" t="s">
        <v>56</v>
      </c>
      <c r="C976" s="2" t="s">
        <v>238</v>
      </c>
      <c r="D976" s="2" t="s">
        <v>231</v>
      </c>
      <c r="E976">
        <v>2018</v>
      </c>
      <c r="F976" s="2" t="s">
        <v>2</v>
      </c>
      <c r="G976">
        <v>1</v>
      </c>
      <c r="H976" s="2" t="s">
        <v>7</v>
      </c>
      <c r="I976">
        <v>1</v>
      </c>
      <c r="J976" s="2" t="s">
        <v>16</v>
      </c>
      <c r="K976">
        <v>1</v>
      </c>
      <c r="L976" s="2" t="s">
        <v>24</v>
      </c>
      <c r="M976">
        <v>1</v>
      </c>
      <c r="N976" s="2" t="s">
        <v>44</v>
      </c>
      <c r="O976">
        <v>1</v>
      </c>
    </row>
    <row r="977" spans="1:15" x14ac:dyDescent="0.35">
      <c r="A977" s="2" t="s">
        <v>97</v>
      </c>
      <c r="B977" s="2" t="s">
        <v>56</v>
      </c>
      <c r="C977" s="2" t="s">
        <v>238</v>
      </c>
      <c r="D977" s="2" t="s">
        <v>231</v>
      </c>
      <c r="E977">
        <v>2018</v>
      </c>
      <c r="F977" s="2" t="s">
        <v>2</v>
      </c>
      <c r="G977">
        <v>1</v>
      </c>
      <c r="H977" s="2" t="s">
        <v>7</v>
      </c>
      <c r="I977">
        <v>1</v>
      </c>
      <c r="J977" s="2" t="s">
        <v>16</v>
      </c>
      <c r="K977">
        <v>1</v>
      </c>
      <c r="L977" s="2" t="s">
        <v>24</v>
      </c>
      <c r="M977">
        <v>1</v>
      </c>
      <c r="N977" s="2" t="s">
        <v>46</v>
      </c>
      <c r="O977">
        <v>1</v>
      </c>
    </row>
    <row r="978" spans="1:15" x14ac:dyDescent="0.35">
      <c r="A978" s="2" t="s">
        <v>102</v>
      </c>
      <c r="B978" s="2" t="s">
        <v>56</v>
      </c>
      <c r="C978" s="2" t="s">
        <v>238</v>
      </c>
      <c r="D978" s="2" t="s">
        <v>231</v>
      </c>
      <c r="E978">
        <v>2021</v>
      </c>
      <c r="F978" s="2" t="s">
        <v>4</v>
      </c>
      <c r="G978">
        <v>1</v>
      </c>
      <c r="H978" s="2" t="s">
        <v>7</v>
      </c>
      <c r="I978">
        <v>1</v>
      </c>
      <c r="J978" s="2" t="s">
        <v>14</v>
      </c>
      <c r="K978">
        <v>1</v>
      </c>
      <c r="L978" s="2" t="s">
        <v>24</v>
      </c>
      <c r="M978">
        <v>1</v>
      </c>
      <c r="N978" s="2" t="s">
        <v>33</v>
      </c>
      <c r="O978">
        <v>1</v>
      </c>
    </row>
    <row r="979" spans="1:15" x14ac:dyDescent="0.35">
      <c r="A979" s="2" t="s">
        <v>102</v>
      </c>
      <c r="B979" s="2" t="s">
        <v>56</v>
      </c>
      <c r="C979" s="2" t="s">
        <v>238</v>
      </c>
      <c r="D979" s="2" t="s">
        <v>231</v>
      </c>
      <c r="E979">
        <v>2021</v>
      </c>
      <c r="F979" s="2" t="s">
        <v>4</v>
      </c>
      <c r="G979">
        <v>1</v>
      </c>
      <c r="H979" s="2" t="s">
        <v>7</v>
      </c>
      <c r="I979">
        <v>1</v>
      </c>
      <c r="J979" s="2" t="s">
        <v>14</v>
      </c>
      <c r="K979">
        <v>1</v>
      </c>
      <c r="L979" s="2" t="s">
        <v>24</v>
      </c>
      <c r="M979">
        <v>1</v>
      </c>
      <c r="N979" s="2" t="s">
        <v>37</v>
      </c>
      <c r="O979">
        <v>1</v>
      </c>
    </row>
    <row r="980" spans="1:15" x14ac:dyDescent="0.35">
      <c r="A980" s="2" t="s">
        <v>102</v>
      </c>
      <c r="B980" s="2" t="s">
        <v>56</v>
      </c>
      <c r="C980" s="2" t="s">
        <v>238</v>
      </c>
      <c r="D980" s="2" t="s">
        <v>231</v>
      </c>
      <c r="E980">
        <v>2021</v>
      </c>
      <c r="F980" s="2" t="s">
        <v>4</v>
      </c>
      <c r="G980">
        <v>1</v>
      </c>
      <c r="H980" s="2" t="s">
        <v>7</v>
      </c>
      <c r="I980">
        <v>1</v>
      </c>
      <c r="J980" s="2" t="s">
        <v>14</v>
      </c>
      <c r="K980">
        <v>1</v>
      </c>
      <c r="L980" s="2" t="s">
        <v>24</v>
      </c>
      <c r="M980">
        <v>1</v>
      </c>
      <c r="N980" s="2" t="s">
        <v>38</v>
      </c>
      <c r="O980">
        <v>1</v>
      </c>
    </row>
    <row r="981" spans="1:15" x14ac:dyDescent="0.35">
      <c r="A981" s="2" t="s">
        <v>102</v>
      </c>
      <c r="B981" s="2" t="s">
        <v>56</v>
      </c>
      <c r="C981" s="2" t="s">
        <v>238</v>
      </c>
      <c r="D981" s="2" t="s">
        <v>231</v>
      </c>
      <c r="E981">
        <v>2021</v>
      </c>
      <c r="F981" s="2" t="s">
        <v>4</v>
      </c>
      <c r="G981">
        <v>1</v>
      </c>
      <c r="H981" s="2" t="s">
        <v>7</v>
      </c>
      <c r="I981">
        <v>1</v>
      </c>
      <c r="J981" s="2" t="s">
        <v>14</v>
      </c>
      <c r="K981">
        <v>1</v>
      </c>
      <c r="L981" s="2" t="s">
        <v>24</v>
      </c>
      <c r="M981">
        <v>1</v>
      </c>
      <c r="N981" s="2" t="s">
        <v>40</v>
      </c>
      <c r="O981">
        <v>1</v>
      </c>
    </row>
    <row r="982" spans="1:15" x14ac:dyDescent="0.35">
      <c r="A982" s="2" t="s">
        <v>102</v>
      </c>
      <c r="B982" s="2" t="s">
        <v>56</v>
      </c>
      <c r="C982" s="2" t="s">
        <v>238</v>
      </c>
      <c r="D982" s="2" t="s">
        <v>231</v>
      </c>
      <c r="E982">
        <v>2021</v>
      </c>
      <c r="F982" s="2" t="s">
        <v>4</v>
      </c>
      <c r="G982">
        <v>1</v>
      </c>
      <c r="H982" s="2" t="s">
        <v>7</v>
      </c>
      <c r="I982">
        <v>1</v>
      </c>
      <c r="J982" s="2" t="s">
        <v>14</v>
      </c>
      <c r="K982">
        <v>1</v>
      </c>
      <c r="L982" s="2" t="s">
        <v>24</v>
      </c>
      <c r="M982">
        <v>1</v>
      </c>
      <c r="N982" s="2" t="s">
        <v>46</v>
      </c>
      <c r="O982">
        <v>1</v>
      </c>
    </row>
    <row r="983" spans="1:15" x14ac:dyDescent="0.35">
      <c r="A983" s="2" t="s">
        <v>102</v>
      </c>
      <c r="B983" s="2" t="s">
        <v>56</v>
      </c>
      <c r="C983" s="2" t="s">
        <v>238</v>
      </c>
      <c r="D983" s="2" t="s">
        <v>231</v>
      </c>
      <c r="E983">
        <v>2021</v>
      </c>
      <c r="F983" s="2" t="s">
        <v>4</v>
      </c>
      <c r="G983">
        <v>1</v>
      </c>
      <c r="H983" s="2" t="s">
        <v>7</v>
      </c>
      <c r="I983">
        <v>1</v>
      </c>
      <c r="J983" s="2" t="s">
        <v>15</v>
      </c>
      <c r="K983">
        <v>1</v>
      </c>
      <c r="L983" s="2" t="s">
        <v>24</v>
      </c>
      <c r="M983">
        <v>1</v>
      </c>
      <c r="N983" s="2" t="s">
        <v>33</v>
      </c>
      <c r="O983">
        <v>1</v>
      </c>
    </row>
    <row r="984" spans="1:15" x14ac:dyDescent="0.35">
      <c r="A984" s="2" t="s">
        <v>102</v>
      </c>
      <c r="B984" s="2" t="s">
        <v>56</v>
      </c>
      <c r="C984" s="2" t="s">
        <v>238</v>
      </c>
      <c r="D984" s="2" t="s">
        <v>231</v>
      </c>
      <c r="E984">
        <v>2021</v>
      </c>
      <c r="F984" s="2" t="s">
        <v>4</v>
      </c>
      <c r="G984">
        <v>1</v>
      </c>
      <c r="H984" s="2" t="s">
        <v>7</v>
      </c>
      <c r="I984">
        <v>1</v>
      </c>
      <c r="J984" s="2" t="s">
        <v>15</v>
      </c>
      <c r="K984">
        <v>1</v>
      </c>
      <c r="L984" s="2" t="s">
        <v>24</v>
      </c>
      <c r="M984">
        <v>1</v>
      </c>
      <c r="N984" s="2" t="s">
        <v>37</v>
      </c>
      <c r="O984">
        <v>1</v>
      </c>
    </row>
    <row r="985" spans="1:15" x14ac:dyDescent="0.35">
      <c r="A985" s="2" t="s">
        <v>102</v>
      </c>
      <c r="B985" s="2" t="s">
        <v>56</v>
      </c>
      <c r="C985" s="2" t="s">
        <v>238</v>
      </c>
      <c r="D985" s="2" t="s">
        <v>231</v>
      </c>
      <c r="E985">
        <v>2021</v>
      </c>
      <c r="F985" s="2" t="s">
        <v>4</v>
      </c>
      <c r="G985">
        <v>1</v>
      </c>
      <c r="H985" s="2" t="s">
        <v>7</v>
      </c>
      <c r="I985">
        <v>1</v>
      </c>
      <c r="J985" s="2" t="s">
        <v>15</v>
      </c>
      <c r="K985">
        <v>1</v>
      </c>
      <c r="L985" s="2" t="s">
        <v>24</v>
      </c>
      <c r="M985">
        <v>1</v>
      </c>
      <c r="N985" s="2" t="s">
        <v>38</v>
      </c>
      <c r="O985">
        <v>1</v>
      </c>
    </row>
    <row r="986" spans="1:15" x14ac:dyDescent="0.35">
      <c r="A986" s="2" t="s">
        <v>102</v>
      </c>
      <c r="B986" s="2" t="s">
        <v>56</v>
      </c>
      <c r="C986" s="2" t="s">
        <v>238</v>
      </c>
      <c r="D986" s="2" t="s">
        <v>231</v>
      </c>
      <c r="E986">
        <v>2021</v>
      </c>
      <c r="F986" s="2" t="s">
        <v>4</v>
      </c>
      <c r="G986">
        <v>1</v>
      </c>
      <c r="H986" s="2" t="s">
        <v>7</v>
      </c>
      <c r="I986">
        <v>1</v>
      </c>
      <c r="J986" s="2" t="s">
        <v>15</v>
      </c>
      <c r="K986">
        <v>1</v>
      </c>
      <c r="L986" s="2" t="s">
        <v>24</v>
      </c>
      <c r="M986">
        <v>1</v>
      </c>
      <c r="N986" s="2" t="s">
        <v>40</v>
      </c>
      <c r="O986">
        <v>1</v>
      </c>
    </row>
    <row r="987" spans="1:15" x14ac:dyDescent="0.35">
      <c r="A987" s="2" t="s">
        <v>102</v>
      </c>
      <c r="B987" s="2" t="s">
        <v>56</v>
      </c>
      <c r="C987" s="2" t="s">
        <v>238</v>
      </c>
      <c r="D987" s="2" t="s">
        <v>231</v>
      </c>
      <c r="E987">
        <v>2021</v>
      </c>
      <c r="F987" s="2" t="s">
        <v>4</v>
      </c>
      <c r="G987">
        <v>1</v>
      </c>
      <c r="H987" s="2" t="s">
        <v>7</v>
      </c>
      <c r="I987">
        <v>1</v>
      </c>
      <c r="J987" s="2" t="s">
        <v>15</v>
      </c>
      <c r="K987">
        <v>1</v>
      </c>
      <c r="L987" s="2" t="s">
        <v>24</v>
      </c>
      <c r="M987">
        <v>1</v>
      </c>
      <c r="N987" s="2" t="s">
        <v>46</v>
      </c>
      <c r="O987">
        <v>1</v>
      </c>
    </row>
    <row r="988" spans="1:15" x14ac:dyDescent="0.35">
      <c r="A988" s="2" t="s">
        <v>114</v>
      </c>
      <c r="B988" s="2" t="s">
        <v>66</v>
      </c>
      <c r="C988" s="2" t="s">
        <v>235</v>
      </c>
      <c r="D988" s="2" t="s">
        <v>231</v>
      </c>
      <c r="E988">
        <v>2021</v>
      </c>
      <c r="F988" s="2" t="s">
        <v>2</v>
      </c>
      <c r="G988">
        <v>1</v>
      </c>
      <c r="H988" s="2" t="s">
        <v>10</v>
      </c>
      <c r="I988">
        <v>1</v>
      </c>
      <c r="J988" s="2" t="s">
        <v>14</v>
      </c>
      <c r="K988">
        <v>1</v>
      </c>
      <c r="L988" s="2" t="s">
        <v>22</v>
      </c>
      <c r="M988">
        <v>1</v>
      </c>
      <c r="N988" s="2" t="s">
        <v>31</v>
      </c>
      <c r="O988">
        <v>1</v>
      </c>
    </row>
    <row r="989" spans="1:15" x14ac:dyDescent="0.35">
      <c r="A989" s="2" t="s">
        <v>114</v>
      </c>
      <c r="B989" s="2" t="s">
        <v>66</v>
      </c>
      <c r="C989" s="2" t="s">
        <v>235</v>
      </c>
      <c r="D989" s="2" t="s">
        <v>231</v>
      </c>
      <c r="E989">
        <v>2021</v>
      </c>
      <c r="F989" s="2" t="s">
        <v>2</v>
      </c>
      <c r="G989">
        <v>1</v>
      </c>
      <c r="H989" s="2" t="s">
        <v>10</v>
      </c>
      <c r="I989">
        <v>1</v>
      </c>
      <c r="J989" s="2" t="s">
        <v>14</v>
      </c>
      <c r="K989">
        <v>1</v>
      </c>
      <c r="L989" s="2" t="s">
        <v>22</v>
      </c>
      <c r="M989">
        <v>1</v>
      </c>
      <c r="N989" s="2" t="s">
        <v>32</v>
      </c>
      <c r="O989">
        <v>1</v>
      </c>
    </row>
    <row r="990" spans="1:15" x14ac:dyDescent="0.35">
      <c r="A990" s="2" t="s">
        <v>114</v>
      </c>
      <c r="B990" s="2" t="s">
        <v>66</v>
      </c>
      <c r="C990" s="2" t="s">
        <v>235</v>
      </c>
      <c r="D990" s="2" t="s">
        <v>231</v>
      </c>
      <c r="E990">
        <v>2021</v>
      </c>
      <c r="F990" s="2" t="s">
        <v>2</v>
      </c>
      <c r="G990">
        <v>1</v>
      </c>
      <c r="H990" s="2" t="s">
        <v>10</v>
      </c>
      <c r="I990">
        <v>1</v>
      </c>
      <c r="J990" s="2" t="s">
        <v>14</v>
      </c>
      <c r="K990">
        <v>1</v>
      </c>
      <c r="L990" s="2" t="s">
        <v>22</v>
      </c>
      <c r="M990">
        <v>1</v>
      </c>
      <c r="N990" s="2" t="s">
        <v>33</v>
      </c>
      <c r="O990">
        <v>1</v>
      </c>
    </row>
    <row r="991" spans="1:15" x14ac:dyDescent="0.35">
      <c r="A991" s="2" t="s">
        <v>114</v>
      </c>
      <c r="B991" s="2" t="s">
        <v>66</v>
      </c>
      <c r="C991" s="2" t="s">
        <v>235</v>
      </c>
      <c r="D991" s="2" t="s">
        <v>231</v>
      </c>
      <c r="E991">
        <v>2021</v>
      </c>
      <c r="F991" s="2" t="s">
        <v>2</v>
      </c>
      <c r="G991">
        <v>1</v>
      </c>
      <c r="H991" s="2" t="s">
        <v>10</v>
      </c>
      <c r="I991">
        <v>1</v>
      </c>
      <c r="J991" s="2" t="s">
        <v>15</v>
      </c>
      <c r="K991">
        <v>1</v>
      </c>
      <c r="L991" s="2" t="s">
        <v>22</v>
      </c>
      <c r="M991">
        <v>1</v>
      </c>
      <c r="N991" s="2" t="s">
        <v>31</v>
      </c>
      <c r="O991">
        <v>1</v>
      </c>
    </row>
    <row r="992" spans="1:15" x14ac:dyDescent="0.35">
      <c r="A992" s="2" t="s">
        <v>114</v>
      </c>
      <c r="B992" s="2" t="s">
        <v>66</v>
      </c>
      <c r="C992" s="2" t="s">
        <v>235</v>
      </c>
      <c r="D992" s="2" t="s">
        <v>231</v>
      </c>
      <c r="E992">
        <v>2021</v>
      </c>
      <c r="F992" s="2" t="s">
        <v>2</v>
      </c>
      <c r="G992">
        <v>1</v>
      </c>
      <c r="H992" s="2" t="s">
        <v>10</v>
      </c>
      <c r="I992">
        <v>1</v>
      </c>
      <c r="J992" s="2" t="s">
        <v>15</v>
      </c>
      <c r="K992">
        <v>1</v>
      </c>
      <c r="L992" s="2" t="s">
        <v>22</v>
      </c>
      <c r="M992">
        <v>1</v>
      </c>
      <c r="N992" s="2" t="s">
        <v>32</v>
      </c>
      <c r="O992">
        <v>1</v>
      </c>
    </row>
    <row r="993" spans="1:15" x14ac:dyDescent="0.35">
      <c r="A993" s="2" t="s">
        <v>114</v>
      </c>
      <c r="B993" s="2" t="s">
        <v>66</v>
      </c>
      <c r="C993" s="2" t="s">
        <v>235</v>
      </c>
      <c r="D993" s="2" t="s">
        <v>231</v>
      </c>
      <c r="E993">
        <v>2021</v>
      </c>
      <c r="F993" s="2" t="s">
        <v>2</v>
      </c>
      <c r="G993">
        <v>1</v>
      </c>
      <c r="H993" s="2" t="s">
        <v>10</v>
      </c>
      <c r="I993">
        <v>1</v>
      </c>
      <c r="J993" s="2" t="s">
        <v>15</v>
      </c>
      <c r="K993">
        <v>1</v>
      </c>
      <c r="L993" s="2" t="s">
        <v>22</v>
      </c>
      <c r="M993">
        <v>1</v>
      </c>
      <c r="N993" s="2" t="s">
        <v>33</v>
      </c>
      <c r="O993">
        <v>1</v>
      </c>
    </row>
    <row r="994" spans="1:15" x14ac:dyDescent="0.35">
      <c r="A994" s="2" t="s">
        <v>177</v>
      </c>
      <c r="B994" s="2" t="s">
        <v>56</v>
      </c>
      <c r="C994" s="2" t="s">
        <v>235</v>
      </c>
      <c r="D994" s="2" t="s">
        <v>230</v>
      </c>
      <c r="E994">
        <v>2018</v>
      </c>
      <c r="F994" s="2" t="s">
        <v>4</v>
      </c>
      <c r="G994">
        <v>1</v>
      </c>
      <c r="H994" s="2" t="s">
        <v>7</v>
      </c>
      <c r="I994">
        <v>1</v>
      </c>
      <c r="J994" s="2" t="s">
        <v>14</v>
      </c>
      <c r="K994">
        <v>1</v>
      </c>
      <c r="L994" s="2" t="s">
        <v>21</v>
      </c>
      <c r="M994">
        <v>1</v>
      </c>
      <c r="N994" s="2" t="s">
        <v>33</v>
      </c>
      <c r="O994">
        <v>1</v>
      </c>
    </row>
    <row r="995" spans="1:15" x14ac:dyDescent="0.35">
      <c r="A995" s="2" t="s">
        <v>177</v>
      </c>
      <c r="B995" s="2" t="s">
        <v>56</v>
      </c>
      <c r="C995" s="2" t="s">
        <v>235</v>
      </c>
      <c r="D995" s="2" t="s">
        <v>230</v>
      </c>
      <c r="E995">
        <v>2018</v>
      </c>
      <c r="F995" s="2" t="s">
        <v>4</v>
      </c>
      <c r="G995">
        <v>1</v>
      </c>
      <c r="H995" s="2" t="s">
        <v>7</v>
      </c>
      <c r="I995">
        <v>1</v>
      </c>
      <c r="J995" s="2" t="s">
        <v>14</v>
      </c>
      <c r="K995">
        <v>1</v>
      </c>
      <c r="L995" s="2" t="s">
        <v>21</v>
      </c>
      <c r="M995">
        <v>1</v>
      </c>
      <c r="N995" s="2" t="s">
        <v>44</v>
      </c>
      <c r="O995">
        <v>1</v>
      </c>
    </row>
    <row r="996" spans="1:15" x14ac:dyDescent="0.35">
      <c r="A996" s="2" t="s">
        <v>177</v>
      </c>
      <c r="B996" s="2" t="s">
        <v>56</v>
      </c>
      <c r="C996" s="2" t="s">
        <v>235</v>
      </c>
      <c r="D996" s="2" t="s">
        <v>230</v>
      </c>
      <c r="E996">
        <v>2018</v>
      </c>
      <c r="F996" s="2" t="s">
        <v>4</v>
      </c>
      <c r="G996">
        <v>1</v>
      </c>
      <c r="H996" s="2" t="s">
        <v>7</v>
      </c>
      <c r="I996">
        <v>1</v>
      </c>
      <c r="J996" s="2" t="s">
        <v>14</v>
      </c>
      <c r="K996">
        <v>1</v>
      </c>
      <c r="L996" s="2" t="s">
        <v>22</v>
      </c>
      <c r="M996">
        <v>1</v>
      </c>
      <c r="N996" s="2" t="s">
        <v>33</v>
      </c>
      <c r="O996">
        <v>1</v>
      </c>
    </row>
    <row r="997" spans="1:15" x14ac:dyDescent="0.35">
      <c r="A997" s="2" t="s">
        <v>177</v>
      </c>
      <c r="B997" s="2" t="s">
        <v>56</v>
      </c>
      <c r="C997" s="2" t="s">
        <v>235</v>
      </c>
      <c r="D997" s="2" t="s">
        <v>230</v>
      </c>
      <c r="E997">
        <v>2018</v>
      </c>
      <c r="F997" s="2" t="s">
        <v>4</v>
      </c>
      <c r="G997">
        <v>1</v>
      </c>
      <c r="H997" s="2" t="s">
        <v>7</v>
      </c>
      <c r="I997">
        <v>1</v>
      </c>
      <c r="J997" s="2" t="s">
        <v>14</v>
      </c>
      <c r="K997">
        <v>1</v>
      </c>
      <c r="L997" s="2" t="s">
        <v>22</v>
      </c>
      <c r="M997">
        <v>1</v>
      </c>
      <c r="N997" s="2" t="s">
        <v>44</v>
      </c>
      <c r="O997">
        <v>1</v>
      </c>
    </row>
    <row r="998" spans="1:15" x14ac:dyDescent="0.35">
      <c r="A998" s="2" t="s">
        <v>177</v>
      </c>
      <c r="B998" s="2" t="s">
        <v>56</v>
      </c>
      <c r="C998" s="2" t="s">
        <v>235</v>
      </c>
      <c r="D998" s="2" t="s">
        <v>230</v>
      </c>
      <c r="E998">
        <v>2018</v>
      </c>
      <c r="F998" s="2" t="s">
        <v>4</v>
      </c>
      <c r="G998">
        <v>1</v>
      </c>
      <c r="H998" s="2" t="s">
        <v>7</v>
      </c>
      <c r="I998">
        <v>1</v>
      </c>
      <c r="J998" s="2" t="s">
        <v>17</v>
      </c>
      <c r="K998">
        <v>1</v>
      </c>
      <c r="L998" s="2" t="s">
        <v>21</v>
      </c>
      <c r="M998">
        <v>1</v>
      </c>
      <c r="N998" s="2" t="s">
        <v>33</v>
      </c>
      <c r="O998">
        <v>1</v>
      </c>
    </row>
    <row r="999" spans="1:15" x14ac:dyDescent="0.35">
      <c r="A999" s="2" t="s">
        <v>177</v>
      </c>
      <c r="B999" s="2" t="s">
        <v>56</v>
      </c>
      <c r="C999" s="2" t="s">
        <v>235</v>
      </c>
      <c r="D999" s="2" t="s">
        <v>230</v>
      </c>
      <c r="E999">
        <v>2018</v>
      </c>
      <c r="F999" s="2" t="s">
        <v>4</v>
      </c>
      <c r="G999">
        <v>1</v>
      </c>
      <c r="H999" s="2" t="s">
        <v>7</v>
      </c>
      <c r="I999">
        <v>1</v>
      </c>
      <c r="J999" s="2" t="s">
        <v>17</v>
      </c>
      <c r="K999">
        <v>1</v>
      </c>
      <c r="L999" s="2" t="s">
        <v>21</v>
      </c>
      <c r="M999">
        <v>1</v>
      </c>
      <c r="N999" s="2" t="s">
        <v>44</v>
      </c>
      <c r="O999">
        <v>1</v>
      </c>
    </row>
    <row r="1000" spans="1:15" x14ac:dyDescent="0.35">
      <c r="A1000" s="2" t="s">
        <v>177</v>
      </c>
      <c r="B1000" s="2" t="s">
        <v>56</v>
      </c>
      <c r="C1000" s="2" t="s">
        <v>235</v>
      </c>
      <c r="D1000" s="2" t="s">
        <v>230</v>
      </c>
      <c r="E1000">
        <v>2018</v>
      </c>
      <c r="F1000" s="2" t="s">
        <v>4</v>
      </c>
      <c r="G1000">
        <v>1</v>
      </c>
      <c r="H1000" s="2" t="s">
        <v>7</v>
      </c>
      <c r="I1000">
        <v>1</v>
      </c>
      <c r="J1000" s="2" t="s">
        <v>17</v>
      </c>
      <c r="K1000">
        <v>1</v>
      </c>
      <c r="L1000" s="2" t="s">
        <v>22</v>
      </c>
      <c r="M1000">
        <v>1</v>
      </c>
      <c r="N1000" s="2" t="s">
        <v>33</v>
      </c>
      <c r="O1000">
        <v>1</v>
      </c>
    </row>
    <row r="1001" spans="1:15" x14ac:dyDescent="0.35">
      <c r="A1001" s="2" t="s">
        <v>177</v>
      </c>
      <c r="B1001" s="2" t="s">
        <v>56</v>
      </c>
      <c r="C1001" s="2" t="s">
        <v>235</v>
      </c>
      <c r="D1001" s="2" t="s">
        <v>230</v>
      </c>
      <c r="E1001">
        <v>2018</v>
      </c>
      <c r="F1001" s="2" t="s">
        <v>4</v>
      </c>
      <c r="G1001">
        <v>1</v>
      </c>
      <c r="H1001" s="2" t="s">
        <v>7</v>
      </c>
      <c r="I1001">
        <v>1</v>
      </c>
      <c r="J1001" s="2" t="s">
        <v>17</v>
      </c>
      <c r="K1001">
        <v>1</v>
      </c>
      <c r="L1001" s="2" t="s">
        <v>22</v>
      </c>
      <c r="M1001">
        <v>1</v>
      </c>
      <c r="N1001" s="2" t="s">
        <v>44</v>
      </c>
      <c r="O1001">
        <v>1</v>
      </c>
    </row>
    <row r="1002" spans="1:15" x14ac:dyDescent="0.35">
      <c r="A1002" s="2" t="s">
        <v>51</v>
      </c>
      <c r="B1002" s="2" t="s">
        <v>49</v>
      </c>
      <c r="C1002" s="2" t="s">
        <v>52</v>
      </c>
      <c r="D1002" s="2" t="s">
        <v>231</v>
      </c>
      <c r="E1002">
        <v>2021</v>
      </c>
      <c r="F1002" s="2" t="s">
        <v>6</v>
      </c>
      <c r="G1002">
        <v>1</v>
      </c>
      <c r="H1002" s="2" t="s">
        <v>11</v>
      </c>
      <c r="I1002">
        <v>1</v>
      </c>
      <c r="J1002" s="2" t="s">
        <v>16</v>
      </c>
      <c r="K1002">
        <v>1</v>
      </c>
      <c r="L1002" s="2" t="s">
        <v>22</v>
      </c>
      <c r="M1002">
        <v>1</v>
      </c>
      <c r="N1002" s="2" t="s">
        <v>44</v>
      </c>
      <c r="O1002">
        <v>1</v>
      </c>
    </row>
    <row r="1003" spans="1:15" x14ac:dyDescent="0.35">
      <c r="A1003" s="2" t="s">
        <v>51</v>
      </c>
      <c r="B1003" s="2" t="s">
        <v>49</v>
      </c>
      <c r="C1003" s="2" t="s">
        <v>52</v>
      </c>
      <c r="D1003" s="2" t="s">
        <v>231</v>
      </c>
      <c r="E1003">
        <v>2021</v>
      </c>
      <c r="F1003" s="2" t="s">
        <v>6</v>
      </c>
      <c r="G1003">
        <v>1</v>
      </c>
      <c r="H1003" s="2" t="s">
        <v>11</v>
      </c>
      <c r="I1003">
        <v>1</v>
      </c>
      <c r="J1003" s="2" t="s">
        <v>17</v>
      </c>
      <c r="K1003">
        <v>1</v>
      </c>
      <c r="L1003" s="2" t="s">
        <v>22</v>
      </c>
      <c r="M1003">
        <v>1</v>
      </c>
      <c r="N1003" s="2" t="s">
        <v>44</v>
      </c>
      <c r="O1003">
        <v>1</v>
      </c>
    </row>
    <row r="1004" spans="1:15" x14ac:dyDescent="0.35">
      <c r="A1004" s="2" t="s">
        <v>62</v>
      </c>
      <c r="B1004" s="2" t="s">
        <v>49</v>
      </c>
      <c r="C1004" s="2" t="s">
        <v>52</v>
      </c>
      <c r="D1004" s="2" t="s">
        <v>230</v>
      </c>
      <c r="E1004">
        <v>2020</v>
      </c>
      <c r="F1004" s="2" t="s">
        <v>6</v>
      </c>
      <c r="G1004">
        <v>1</v>
      </c>
      <c r="H1004" s="2" t="s">
        <v>10</v>
      </c>
      <c r="I1004">
        <v>1</v>
      </c>
      <c r="J1004" s="2" t="s">
        <v>16</v>
      </c>
      <c r="K1004">
        <v>1</v>
      </c>
      <c r="L1004" s="2" t="s">
        <v>22</v>
      </c>
      <c r="M1004">
        <v>1</v>
      </c>
      <c r="N1004" s="2" t="s">
        <v>43</v>
      </c>
      <c r="O1004">
        <v>1</v>
      </c>
    </row>
    <row r="1005" spans="1:15" x14ac:dyDescent="0.35">
      <c r="A1005" s="2" t="s">
        <v>62</v>
      </c>
      <c r="B1005" s="2" t="s">
        <v>49</v>
      </c>
      <c r="C1005" s="2" t="s">
        <v>52</v>
      </c>
      <c r="D1005" s="2" t="s">
        <v>230</v>
      </c>
      <c r="E1005">
        <v>2020</v>
      </c>
      <c r="F1005" s="2" t="s">
        <v>6</v>
      </c>
      <c r="G1005">
        <v>1</v>
      </c>
      <c r="H1005" s="2" t="s">
        <v>10</v>
      </c>
      <c r="I1005">
        <v>1</v>
      </c>
      <c r="J1005" s="2" t="s">
        <v>16</v>
      </c>
      <c r="K1005">
        <v>1</v>
      </c>
      <c r="L1005" s="2" t="s">
        <v>22</v>
      </c>
      <c r="M1005">
        <v>1</v>
      </c>
      <c r="N1005" s="2" t="s">
        <v>44</v>
      </c>
      <c r="O1005">
        <v>1</v>
      </c>
    </row>
    <row r="1006" spans="1:15" x14ac:dyDescent="0.35">
      <c r="A1006" s="2" t="s">
        <v>67</v>
      </c>
      <c r="B1006" s="2" t="s">
        <v>66</v>
      </c>
      <c r="C1006" s="2" t="s">
        <v>238</v>
      </c>
      <c r="D1006" s="2" t="s">
        <v>230</v>
      </c>
      <c r="E1006">
        <v>2018</v>
      </c>
      <c r="F1006" s="2" t="s">
        <v>6</v>
      </c>
      <c r="G1006">
        <v>1</v>
      </c>
      <c r="H1006" s="2" t="s">
        <v>10</v>
      </c>
      <c r="I1006">
        <v>1</v>
      </c>
      <c r="J1006" s="2" t="s">
        <v>16</v>
      </c>
      <c r="K1006">
        <v>1</v>
      </c>
      <c r="L1006" s="2" t="s">
        <v>21</v>
      </c>
      <c r="M1006">
        <v>1</v>
      </c>
      <c r="N1006" s="2" t="s">
        <v>31</v>
      </c>
      <c r="O1006">
        <v>1</v>
      </c>
    </row>
    <row r="1007" spans="1:15" x14ac:dyDescent="0.35">
      <c r="A1007" s="2" t="s">
        <v>67</v>
      </c>
      <c r="B1007" s="2" t="s">
        <v>66</v>
      </c>
      <c r="C1007" s="2" t="s">
        <v>238</v>
      </c>
      <c r="D1007" s="2" t="s">
        <v>230</v>
      </c>
      <c r="E1007">
        <v>2018</v>
      </c>
      <c r="F1007" s="2" t="s">
        <v>6</v>
      </c>
      <c r="G1007">
        <v>1</v>
      </c>
      <c r="H1007" s="2" t="s">
        <v>10</v>
      </c>
      <c r="I1007">
        <v>1</v>
      </c>
      <c r="J1007" s="2" t="s">
        <v>16</v>
      </c>
      <c r="K1007">
        <v>1</v>
      </c>
      <c r="L1007" s="2" t="s">
        <v>21</v>
      </c>
      <c r="M1007">
        <v>1</v>
      </c>
      <c r="N1007" s="2" t="s">
        <v>44</v>
      </c>
      <c r="O1007">
        <v>1</v>
      </c>
    </row>
    <row r="1008" spans="1:15" x14ac:dyDescent="0.35">
      <c r="A1008" s="2" t="s">
        <v>67</v>
      </c>
      <c r="B1008" s="2" t="s">
        <v>66</v>
      </c>
      <c r="C1008" s="2" t="s">
        <v>238</v>
      </c>
      <c r="D1008" s="2" t="s">
        <v>230</v>
      </c>
      <c r="E1008">
        <v>2018</v>
      </c>
      <c r="F1008" s="2" t="s">
        <v>6</v>
      </c>
      <c r="G1008">
        <v>1</v>
      </c>
      <c r="H1008" s="2" t="s">
        <v>10</v>
      </c>
      <c r="I1008">
        <v>1</v>
      </c>
      <c r="J1008" s="2" t="s">
        <v>16</v>
      </c>
      <c r="K1008">
        <v>1</v>
      </c>
      <c r="L1008" s="2" t="s">
        <v>22</v>
      </c>
      <c r="M1008">
        <v>1</v>
      </c>
      <c r="N1008" s="2" t="s">
        <v>31</v>
      </c>
      <c r="O1008">
        <v>1</v>
      </c>
    </row>
    <row r="1009" spans="1:15" x14ac:dyDescent="0.35">
      <c r="A1009" s="2" t="s">
        <v>67</v>
      </c>
      <c r="B1009" s="2" t="s">
        <v>66</v>
      </c>
      <c r="C1009" s="2" t="s">
        <v>238</v>
      </c>
      <c r="D1009" s="2" t="s">
        <v>230</v>
      </c>
      <c r="E1009">
        <v>2018</v>
      </c>
      <c r="F1009" s="2" t="s">
        <v>6</v>
      </c>
      <c r="G1009">
        <v>1</v>
      </c>
      <c r="H1009" s="2" t="s">
        <v>10</v>
      </c>
      <c r="I1009">
        <v>1</v>
      </c>
      <c r="J1009" s="2" t="s">
        <v>16</v>
      </c>
      <c r="K1009">
        <v>1</v>
      </c>
      <c r="L1009" s="2" t="s">
        <v>22</v>
      </c>
      <c r="M1009">
        <v>1</v>
      </c>
      <c r="N1009" s="2" t="s">
        <v>44</v>
      </c>
      <c r="O1009">
        <v>1</v>
      </c>
    </row>
    <row r="1010" spans="1:15" x14ac:dyDescent="0.35">
      <c r="A1010" s="2" t="s">
        <v>67</v>
      </c>
      <c r="B1010" s="2" t="s">
        <v>66</v>
      </c>
      <c r="C1010" s="2" t="s">
        <v>238</v>
      </c>
      <c r="D1010" s="2" t="s">
        <v>230</v>
      </c>
      <c r="E1010">
        <v>2018</v>
      </c>
      <c r="F1010" s="2" t="s">
        <v>6</v>
      </c>
      <c r="G1010">
        <v>1</v>
      </c>
      <c r="H1010" s="2" t="s">
        <v>10</v>
      </c>
      <c r="I1010">
        <v>1</v>
      </c>
      <c r="J1010" s="2" t="s">
        <v>17</v>
      </c>
      <c r="K1010">
        <v>1</v>
      </c>
      <c r="L1010" s="2" t="s">
        <v>21</v>
      </c>
      <c r="M1010">
        <v>1</v>
      </c>
      <c r="N1010" s="2" t="s">
        <v>31</v>
      </c>
      <c r="O1010">
        <v>1</v>
      </c>
    </row>
    <row r="1011" spans="1:15" x14ac:dyDescent="0.35">
      <c r="A1011" s="2" t="s">
        <v>67</v>
      </c>
      <c r="B1011" s="2" t="s">
        <v>66</v>
      </c>
      <c r="C1011" s="2" t="s">
        <v>238</v>
      </c>
      <c r="D1011" s="2" t="s">
        <v>230</v>
      </c>
      <c r="E1011">
        <v>2018</v>
      </c>
      <c r="F1011" s="2" t="s">
        <v>6</v>
      </c>
      <c r="G1011">
        <v>1</v>
      </c>
      <c r="H1011" s="2" t="s">
        <v>10</v>
      </c>
      <c r="I1011">
        <v>1</v>
      </c>
      <c r="J1011" s="2" t="s">
        <v>17</v>
      </c>
      <c r="K1011">
        <v>1</v>
      </c>
      <c r="L1011" s="2" t="s">
        <v>21</v>
      </c>
      <c r="M1011">
        <v>1</v>
      </c>
      <c r="N1011" s="2" t="s">
        <v>44</v>
      </c>
      <c r="O1011">
        <v>1</v>
      </c>
    </row>
    <row r="1012" spans="1:15" x14ac:dyDescent="0.35">
      <c r="A1012" s="2" t="s">
        <v>67</v>
      </c>
      <c r="B1012" s="2" t="s">
        <v>66</v>
      </c>
      <c r="C1012" s="2" t="s">
        <v>238</v>
      </c>
      <c r="D1012" s="2" t="s">
        <v>230</v>
      </c>
      <c r="E1012">
        <v>2018</v>
      </c>
      <c r="F1012" s="2" t="s">
        <v>6</v>
      </c>
      <c r="G1012">
        <v>1</v>
      </c>
      <c r="H1012" s="2" t="s">
        <v>10</v>
      </c>
      <c r="I1012">
        <v>1</v>
      </c>
      <c r="J1012" s="2" t="s">
        <v>17</v>
      </c>
      <c r="K1012">
        <v>1</v>
      </c>
      <c r="L1012" s="2" t="s">
        <v>22</v>
      </c>
      <c r="M1012">
        <v>1</v>
      </c>
      <c r="N1012" s="2" t="s">
        <v>31</v>
      </c>
      <c r="O1012">
        <v>1</v>
      </c>
    </row>
    <row r="1013" spans="1:15" x14ac:dyDescent="0.35">
      <c r="A1013" s="2" t="s">
        <v>67</v>
      </c>
      <c r="B1013" s="2" t="s">
        <v>66</v>
      </c>
      <c r="C1013" s="2" t="s">
        <v>238</v>
      </c>
      <c r="D1013" s="2" t="s">
        <v>230</v>
      </c>
      <c r="E1013">
        <v>2018</v>
      </c>
      <c r="F1013" s="2" t="s">
        <v>6</v>
      </c>
      <c r="G1013">
        <v>1</v>
      </c>
      <c r="H1013" s="2" t="s">
        <v>10</v>
      </c>
      <c r="I1013">
        <v>1</v>
      </c>
      <c r="J1013" s="2" t="s">
        <v>17</v>
      </c>
      <c r="K1013">
        <v>1</v>
      </c>
      <c r="L1013" s="2" t="s">
        <v>22</v>
      </c>
      <c r="M1013">
        <v>1</v>
      </c>
      <c r="N1013" s="2" t="s">
        <v>44</v>
      </c>
      <c r="O1013">
        <v>1</v>
      </c>
    </row>
    <row r="1014" spans="1:15" x14ac:dyDescent="0.35">
      <c r="A1014" s="2" t="s">
        <v>69</v>
      </c>
      <c r="B1014" s="2" t="s">
        <v>49</v>
      </c>
      <c r="C1014" s="2" t="s">
        <v>52</v>
      </c>
      <c r="D1014" s="2" t="s">
        <v>232</v>
      </c>
      <c r="E1014">
        <v>2014</v>
      </c>
      <c r="F1014" s="2" t="s">
        <v>6</v>
      </c>
      <c r="G1014">
        <v>1</v>
      </c>
      <c r="H1014" s="2" t="s">
        <v>9</v>
      </c>
      <c r="I1014">
        <v>1</v>
      </c>
      <c r="J1014" s="2" t="s">
        <v>16</v>
      </c>
      <c r="K1014">
        <v>1</v>
      </c>
      <c r="L1014" s="2" t="s">
        <v>22</v>
      </c>
      <c r="M1014">
        <v>1</v>
      </c>
      <c r="N1014" s="2" t="s">
        <v>32</v>
      </c>
      <c r="O1014">
        <v>1</v>
      </c>
    </row>
    <row r="1015" spans="1:15" x14ac:dyDescent="0.35">
      <c r="A1015" s="2" t="s">
        <v>69</v>
      </c>
      <c r="B1015" s="2" t="s">
        <v>49</v>
      </c>
      <c r="C1015" s="2" t="s">
        <v>52</v>
      </c>
      <c r="D1015" s="2" t="s">
        <v>232</v>
      </c>
      <c r="E1015">
        <v>2014</v>
      </c>
      <c r="F1015" s="2" t="s">
        <v>6</v>
      </c>
      <c r="G1015">
        <v>1</v>
      </c>
      <c r="H1015" s="2" t="s">
        <v>9</v>
      </c>
      <c r="I1015">
        <v>1</v>
      </c>
      <c r="J1015" s="2" t="s">
        <v>16</v>
      </c>
      <c r="K1015">
        <v>1</v>
      </c>
      <c r="L1015" s="2" t="s">
        <v>22</v>
      </c>
      <c r="M1015">
        <v>1</v>
      </c>
      <c r="N1015" s="2" t="s">
        <v>37</v>
      </c>
      <c r="O1015">
        <v>1</v>
      </c>
    </row>
    <row r="1016" spans="1:15" x14ac:dyDescent="0.35">
      <c r="A1016" s="2" t="s">
        <v>69</v>
      </c>
      <c r="B1016" s="2" t="s">
        <v>49</v>
      </c>
      <c r="C1016" s="2" t="s">
        <v>52</v>
      </c>
      <c r="D1016" s="2" t="s">
        <v>232</v>
      </c>
      <c r="E1016">
        <v>2014</v>
      </c>
      <c r="F1016" s="2" t="s">
        <v>6</v>
      </c>
      <c r="G1016">
        <v>1</v>
      </c>
      <c r="H1016" s="2" t="s">
        <v>9</v>
      </c>
      <c r="I1016">
        <v>1</v>
      </c>
      <c r="J1016" s="2" t="s">
        <v>16</v>
      </c>
      <c r="K1016">
        <v>1</v>
      </c>
      <c r="L1016" s="2" t="s">
        <v>22</v>
      </c>
      <c r="M1016">
        <v>1</v>
      </c>
      <c r="N1016" s="2" t="s">
        <v>40</v>
      </c>
      <c r="O1016">
        <v>1</v>
      </c>
    </row>
    <row r="1017" spans="1:15" x14ac:dyDescent="0.35">
      <c r="A1017" s="2" t="s">
        <v>69</v>
      </c>
      <c r="B1017" s="2" t="s">
        <v>49</v>
      </c>
      <c r="C1017" s="2" t="s">
        <v>52</v>
      </c>
      <c r="D1017" s="2" t="s">
        <v>232</v>
      </c>
      <c r="E1017">
        <v>2014</v>
      </c>
      <c r="F1017" s="2" t="s">
        <v>6</v>
      </c>
      <c r="G1017">
        <v>1</v>
      </c>
      <c r="H1017" s="2" t="s">
        <v>9</v>
      </c>
      <c r="I1017">
        <v>1</v>
      </c>
      <c r="J1017" s="2" t="s">
        <v>16</v>
      </c>
      <c r="K1017">
        <v>1</v>
      </c>
      <c r="L1017" s="2" t="s">
        <v>22</v>
      </c>
      <c r="M1017">
        <v>1</v>
      </c>
      <c r="N1017" s="2" t="s">
        <v>44</v>
      </c>
      <c r="O1017">
        <v>1</v>
      </c>
    </row>
    <row r="1018" spans="1:15" x14ac:dyDescent="0.35">
      <c r="A1018" s="2" t="s">
        <v>69</v>
      </c>
      <c r="B1018" s="2" t="s">
        <v>49</v>
      </c>
      <c r="C1018" s="2" t="s">
        <v>52</v>
      </c>
      <c r="D1018" s="2" t="s">
        <v>232</v>
      </c>
      <c r="E1018">
        <v>2014</v>
      </c>
      <c r="F1018" s="2" t="s">
        <v>6</v>
      </c>
      <c r="G1018">
        <v>1</v>
      </c>
      <c r="H1018" s="2" t="s">
        <v>9</v>
      </c>
      <c r="I1018">
        <v>1</v>
      </c>
      <c r="J1018" s="2" t="s">
        <v>16</v>
      </c>
      <c r="K1018">
        <v>1</v>
      </c>
      <c r="L1018" s="2" t="s">
        <v>22</v>
      </c>
      <c r="M1018">
        <v>1</v>
      </c>
      <c r="N1018" s="2" t="s">
        <v>46</v>
      </c>
      <c r="O1018">
        <v>1</v>
      </c>
    </row>
    <row r="1019" spans="1:15" x14ac:dyDescent="0.35">
      <c r="A1019" s="2" t="s">
        <v>69</v>
      </c>
      <c r="B1019" s="2" t="s">
        <v>49</v>
      </c>
      <c r="C1019" s="2" t="s">
        <v>52</v>
      </c>
      <c r="D1019" s="2" t="s">
        <v>232</v>
      </c>
      <c r="E1019">
        <v>2014</v>
      </c>
      <c r="F1019" s="2" t="s">
        <v>6</v>
      </c>
      <c r="G1019">
        <v>1</v>
      </c>
      <c r="H1019" s="2" t="s">
        <v>9</v>
      </c>
      <c r="I1019">
        <v>1</v>
      </c>
      <c r="J1019" s="2" t="s">
        <v>16</v>
      </c>
      <c r="K1019">
        <v>1</v>
      </c>
      <c r="L1019" s="2" t="s">
        <v>24</v>
      </c>
      <c r="M1019">
        <v>1</v>
      </c>
      <c r="N1019" s="2" t="s">
        <v>32</v>
      </c>
      <c r="O1019">
        <v>1</v>
      </c>
    </row>
    <row r="1020" spans="1:15" x14ac:dyDescent="0.35">
      <c r="A1020" s="2" t="s">
        <v>69</v>
      </c>
      <c r="B1020" s="2" t="s">
        <v>49</v>
      </c>
      <c r="C1020" s="2" t="s">
        <v>52</v>
      </c>
      <c r="D1020" s="2" t="s">
        <v>232</v>
      </c>
      <c r="E1020">
        <v>2014</v>
      </c>
      <c r="F1020" s="2" t="s">
        <v>6</v>
      </c>
      <c r="G1020">
        <v>1</v>
      </c>
      <c r="H1020" s="2" t="s">
        <v>9</v>
      </c>
      <c r="I1020">
        <v>1</v>
      </c>
      <c r="J1020" s="2" t="s">
        <v>16</v>
      </c>
      <c r="K1020">
        <v>1</v>
      </c>
      <c r="L1020" s="2" t="s">
        <v>24</v>
      </c>
      <c r="M1020">
        <v>1</v>
      </c>
      <c r="N1020" s="2" t="s">
        <v>37</v>
      </c>
      <c r="O1020">
        <v>1</v>
      </c>
    </row>
    <row r="1021" spans="1:15" x14ac:dyDescent="0.35">
      <c r="A1021" s="2" t="s">
        <v>69</v>
      </c>
      <c r="B1021" s="2" t="s">
        <v>49</v>
      </c>
      <c r="C1021" s="2" t="s">
        <v>52</v>
      </c>
      <c r="D1021" s="2" t="s">
        <v>232</v>
      </c>
      <c r="E1021">
        <v>2014</v>
      </c>
      <c r="F1021" s="2" t="s">
        <v>6</v>
      </c>
      <c r="G1021">
        <v>1</v>
      </c>
      <c r="H1021" s="2" t="s">
        <v>9</v>
      </c>
      <c r="I1021">
        <v>1</v>
      </c>
      <c r="J1021" s="2" t="s">
        <v>16</v>
      </c>
      <c r="K1021">
        <v>1</v>
      </c>
      <c r="L1021" s="2" t="s">
        <v>24</v>
      </c>
      <c r="M1021">
        <v>1</v>
      </c>
      <c r="N1021" s="2" t="s">
        <v>40</v>
      </c>
      <c r="O1021">
        <v>1</v>
      </c>
    </row>
    <row r="1022" spans="1:15" x14ac:dyDescent="0.35">
      <c r="A1022" s="2" t="s">
        <v>69</v>
      </c>
      <c r="B1022" s="2" t="s">
        <v>49</v>
      </c>
      <c r="C1022" s="2" t="s">
        <v>52</v>
      </c>
      <c r="D1022" s="2" t="s">
        <v>232</v>
      </c>
      <c r="E1022">
        <v>2014</v>
      </c>
      <c r="F1022" s="2" t="s">
        <v>6</v>
      </c>
      <c r="G1022">
        <v>1</v>
      </c>
      <c r="H1022" s="2" t="s">
        <v>9</v>
      </c>
      <c r="I1022">
        <v>1</v>
      </c>
      <c r="J1022" s="2" t="s">
        <v>16</v>
      </c>
      <c r="K1022">
        <v>1</v>
      </c>
      <c r="L1022" s="2" t="s">
        <v>24</v>
      </c>
      <c r="M1022">
        <v>1</v>
      </c>
      <c r="N1022" s="2" t="s">
        <v>44</v>
      </c>
      <c r="O1022">
        <v>1</v>
      </c>
    </row>
    <row r="1023" spans="1:15" x14ac:dyDescent="0.35">
      <c r="A1023" s="2" t="s">
        <v>69</v>
      </c>
      <c r="B1023" s="2" t="s">
        <v>49</v>
      </c>
      <c r="C1023" s="2" t="s">
        <v>52</v>
      </c>
      <c r="D1023" s="2" t="s">
        <v>232</v>
      </c>
      <c r="E1023">
        <v>2014</v>
      </c>
      <c r="F1023" s="2" t="s">
        <v>6</v>
      </c>
      <c r="G1023">
        <v>1</v>
      </c>
      <c r="H1023" s="2" t="s">
        <v>9</v>
      </c>
      <c r="I1023">
        <v>1</v>
      </c>
      <c r="J1023" s="2" t="s">
        <v>16</v>
      </c>
      <c r="K1023">
        <v>1</v>
      </c>
      <c r="L1023" s="2" t="s">
        <v>24</v>
      </c>
      <c r="M1023">
        <v>1</v>
      </c>
      <c r="N1023" s="2" t="s">
        <v>46</v>
      </c>
      <c r="O1023">
        <v>1</v>
      </c>
    </row>
    <row r="1024" spans="1:15" x14ac:dyDescent="0.35">
      <c r="A1024" s="2" t="s">
        <v>80</v>
      </c>
      <c r="B1024" s="2" t="s">
        <v>56</v>
      </c>
      <c r="C1024" s="2" t="s">
        <v>235</v>
      </c>
      <c r="D1024" s="2" t="s">
        <v>231</v>
      </c>
      <c r="E1024">
        <v>2021</v>
      </c>
      <c r="F1024" s="2" t="s">
        <v>6</v>
      </c>
      <c r="G1024">
        <v>1</v>
      </c>
      <c r="H1024" s="2" t="s">
        <v>7</v>
      </c>
      <c r="I1024">
        <v>1</v>
      </c>
      <c r="J1024" s="2" t="s">
        <v>15</v>
      </c>
      <c r="K1024">
        <v>1</v>
      </c>
      <c r="L1024" s="2" t="s">
        <v>22</v>
      </c>
      <c r="M1024">
        <v>1</v>
      </c>
      <c r="N1024" s="2" t="s">
        <v>33</v>
      </c>
      <c r="O1024">
        <v>1</v>
      </c>
    </row>
    <row r="1025" spans="1:15" x14ac:dyDescent="0.35">
      <c r="A1025" s="2" t="s">
        <v>80</v>
      </c>
      <c r="B1025" s="2" t="s">
        <v>56</v>
      </c>
      <c r="C1025" s="2" t="s">
        <v>235</v>
      </c>
      <c r="D1025" s="2" t="s">
        <v>231</v>
      </c>
      <c r="E1025">
        <v>2021</v>
      </c>
      <c r="F1025" s="2" t="s">
        <v>6</v>
      </c>
      <c r="G1025">
        <v>1</v>
      </c>
      <c r="H1025" s="2" t="s">
        <v>7</v>
      </c>
      <c r="I1025">
        <v>1</v>
      </c>
      <c r="J1025" s="2" t="s">
        <v>15</v>
      </c>
      <c r="K1025">
        <v>1</v>
      </c>
      <c r="L1025" s="2" t="s">
        <v>22</v>
      </c>
      <c r="M1025">
        <v>1</v>
      </c>
      <c r="N1025" s="2" t="s">
        <v>44</v>
      </c>
      <c r="O1025">
        <v>1</v>
      </c>
    </row>
    <row r="1026" spans="1:15" x14ac:dyDescent="0.35">
      <c r="A1026" s="2" t="s">
        <v>80</v>
      </c>
      <c r="B1026" s="2" t="s">
        <v>56</v>
      </c>
      <c r="C1026" s="2" t="s">
        <v>235</v>
      </c>
      <c r="D1026" s="2" t="s">
        <v>231</v>
      </c>
      <c r="E1026">
        <v>2021</v>
      </c>
      <c r="F1026" s="2" t="s">
        <v>6</v>
      </c>
      <c r="G1026">
        <v>1</v>
      </c>
      <c r="H1026" s="2" t="s">
        <v>7</v>
      </c>
      <c r="I1026">
        <v>1</v>
      </c>
      <c r="J1026" s="2" t="s">
        <v>15</v>
      </c>
      <c r="K1026">
        <v>1</v>
      </c>
      <c r="L1026" s="2" t="s">
        <v>24</v>
      </c>
      <c r="M1026">
        <v>1</v>
      </c>
      <c r="N1026" s="2" t="s">
        <v>33</v>
      </c>
      <c r="O1026">
        <v>1</v>
      </c>
    </row>
    <row r="1027" spans="1:15" x14ac:dyDescent="0.35">
      <c r="A1027" s="2" t="s">
        <v>80</v>
      </c>
      <c r="B1027" s="2" t="s">
        <v>56</v>
      </c>
      <c r="C1027" s="2" t="s">
        <v>235</v>
      </c>
      <c r="D1027" s="2" t="s">
        <v>231</v>
      </c>
      <c r="E1027">
        <v>2021</v>
      </c>
      <c r="F1027" s="2" t="s">
        <v>6</v>
      </c>
      <c r="G1027">
        <v>1</v>
      </c>
      <c r="H1027" s="2" t="s">
        <v>7</v>
      </c>
      <c r="I1027">
        <v>1</v>
      </c>
      <c r="J1027" s="2" t="s">
        <v>15</v>
      </c>
      <c r="K1027">
        <v>1</v>
      </c>
      <c r="L1027" s="2" t="s">
        <v>24</v>
      </c>
      <c r="M1027">
        <v>1</v>
      </c>
      <c r="N1027" s="2" t="s">
        <v>44</v>
      </c>
      <c r="O1027">
        <v>1</v>
      </c>
    </row>
    <row r="1028" spans="1:15" x14ac:dyDescent="0.35">
      <c r="A1028" s="2" t="s">
        <v>80</v>
      </c>
      <c r="B1028" s="2" t="s">
        <v>56</v>
      </c>
      <c r="C1028" s="2" t="s">
        <v>235</v>
      </c>
      <c r="D1028" s="2" t="s">
        <v>231</v>
      </c>
      <c r="E1028">
        <v>2021</v>
      </c>
      <c r="F1028" s="2" t="s">
        <v>6</v>
      </c>
      <c r="G1028">
        <v>1</v>
      </c>
      <c r="H1028" s="2" t="s">
        <v>7</v>
      </c>
      <c r="I1028">
        <v>1</v>
      </c>
      <c r="J1028" s="2" t="s">
        <v>16</v>
      </c>
      <c r="K1028">
        <v>1</v>
      </c>
      <c r="L1028" s="2" t="s">
        <v>22</v>
      </c>
      <c r="M1028">
        <v>1</v>
      </c>
      <c r="N1028" s="2" t="s">
        <v>33</v>
      </c>
      <c r="O1028">
        <v>1</v>
      </c>
    </row>
    <row r="1029" spans="1:15" x14ac:dyDescent="0.35">
      <c r="A1029" s="2" t="s">
        <v>80</v>
      </c>
      <c r="B1029" s="2" t="s">
        <v>56</v>
      </c>
      <c r="C1029" s="2" t="s">
        <v>235</v>
      </c>
      <c r="D1029" s="2" t="s">
        <v>231</v>
      </c>
      <c r="E1029">
        <v>2021</v>
      </c>
      <c r="F1029" s="2" t="s">
        <v>6</v>
      </c>
      <c r="G1029">
        <v>1</v>
      </c>
      <c r="H1029" s="2" t="s">
        <v>7</v>
      </c>
      <c r="I1029">
        <v>1</v>
      </c>
      <c r="J1029" s="2" t="s">
        <v>16</v>
      </c>
      <c r="K1029">
        <v>1</v>
      </c>
      <c r="L1029" s="2" t="s">
        <v>22</v>
      </c>
      <c r="M1029">
        <v>1</v>
      </c>
      <c r="N1029" s="2" t="s">
        <v>44</v>
      </c>
      <c r="O1029">
        <v>1</v>
      </c>
    </row>
    <row r="1030" spans="1:15" x14ac:dyDescent="0.35">
      <c r="A1030" s="2" t="s">
        <v>80</v>
      </c>
      <c r="B1030" s="2" t="s">
        <v>56</v>
      </c>
      <c r="C1030" s="2" t="s">
        <v>235</v>
      </c>
      <c r="D1030" s="2" t="s">
        <v>231</v>
      </c>
      <c r="E1030">
        <v>2021</v>
      </c>
      <c r="F1030" s="2" t="s">
        <v>6</v>
      </c>
      <c r="G1030">
        <v>1</v>
      </c>
      <c r="H1030" s="2" t="s">
        <v>7</v>
      </c>
      <c r="I1030">
        <v>1</v>
      </c>
      <c r="J1030" s="2" t="s">
        <v>16</v>
      </c>
      <c r="K1030">
        <v>1</v>
      </c>
      <c r="L1030" s="2" t="s">
        <v>24</v>
      </c>
      <c r="M1030">
        <v>1</v>
      </c>
      <c r="N1030" s="2" t="s">
        <v>33</v>
      </c>
      <c r="O1030">
        <v>1</v>
      </c>
    </row>
    <row r="1031" spans="1:15" x14ac:dyDescent="0.35">
      <c r="A1031" s="2" t="s">
        <v>80</v>
      </c>
      <c r="B1031" s="2" t="s">
        <v>56</v>
      </c>
      <c r="C1031" s="2" t="s">
        <v>235</v>
      </c>
      <c r="D1031" s="2" t="s">
        <v>231</v>
      </c>
      <c r="E1031">
        <v>2021</v>
      </c>
      <c r="F1031" s="2" t="s">
        <v>6</v>
      </c>
      <c r="G1031">
        <v>1</v>
      </c>
      <c r="H1031" s="2" t="s">
        <v>7</v>
      </c>
      <c r="I1031">
        <v>1</v>
      </c>
      <c r="J1031" s="2" t="s">
        <v>16</v>
      </c>
      <c r="K1031">
        <v>1</v>
      </c>
      <c r="L1031" s="2" t="s">
        <v>24</v>
      </c>
      <c r="M1031">
        <v>1</v>
      </c>
      <c r="N1031" s="2" t="s">
        <v>44</v>
      </c>
      <c r="O1031">
        <v>1</v>
      </c>
    </row>
    <row r="1032" spans="1:15" x14ac:dyDescent="0.35">
      <c r="A1032" s="2" t="s">
        <v>80</v>
      </c>
      <c r="B1032" s="2" t="s">
        <v>56</v>
      </c>
      <c r="C1032" s="2" t="s">
        <v>235</v>
      </c>
      <c r="D1032" s="2" t="s">
        <v>231</v>
      </c>
      <c r="E1032">
        <v>2021</v>
      </c>
      <c r="F1032" s="2" t="s">
        <v>6</v>
      </c>
      <c r="G1032">
        <v>1</v>
      </c>
      <c r="H1032" s="2" t="s">
        <v>7</v>
      </c>
      <c r="I1032">
        <v>1</v>
      </c>
      <c r="J1032" s="2" t="s">
        <v>17</v>
      </c>
      <c r="K1032">
        <v>1</v>
      </c>
      <c r="L1032" s="2" t="s">
        <v>22</v>
      </c>
      <c r="M1032">
        <v>1</v>
      </c>
      <c r="N1032" s="2" t="s">
        <v>33</v>
      </c>
      <c r="O1032">
        <v>1</v>
      </c>
    </row>
    <row r="1033" spans="1:15" x14ac:dyDescent="0.35">
      <c r="A1033" s="2" t="s">
        <v>80</v>
      </c>
      <c r="B1033" s="2" t="s">
        <v>56</v>
      </c>
      <c r="C1033" s="2" t="s">
        <v>235</v>
      </c>
      <c r="D1033" s="2" t="s">
        <v>231</v>
      </c>
      <c r="E1033">
        <v>2021</v>
      </c>
      <c r="F1033" s="2" t="s">
        <v>6</v>
      </c>
      <c r="G1033">
        <v>1</v>
      </c>
      <c r="H1033" s="2" t="s">
        <v>7</v>
      </c>
      <c r="I1033">
        <v>1</v>
      </c>
      <c r="J1033" s="2" t="s">
        <v>17</v>
      </c>
      <c r="K1033">
        <v>1</v>
      </c>
      <c r="L1033" s="2" t="s">
        <v>22</v>
      </c>
      <c r="M1033">
        <v>1</v>
      </c>
      <c r="N1033" s="2" t="s">
        <v>44</v>
      </c>
      <c r="O1033">
        <v>1</v>
      </c>
    </row>
    <row r="1034" spans="1:15" x14ac:dyDescent="0.35">
      <c r="A1034" s="2" t="s">
        <v>80</v>
      </c>
      <c r="B1034" s="2" t="s">
        <v>56</v>
      </c>
      <c r="C1034" s="2" t="s">
        <v>235</v>
      </c>
      <c r="D1034" s="2" t="s">
        <v>231</v>
      </c>
      <c r="E1034">
        <v>2021</v>
      </c>
      <c r="F1034" s="2" t="s">
        <v>6</v>
      </c>
      <c r="G1034">
        <v>1</v>
      </c>
      <c r="H1034" s="2" t="s">
        <v>7</v>
      </c>
      <c r="I1034">
        <v>1</v>
      </c>
      <c r="J1034" s="2" t="s">
        <v>17</v>
      </c>
      <c r="K1034">
        <v>1</v>
      </c>
      <c r="L1034" s="2" t="s">
        <v>24</v>
      </c>
      <c r="M1034">
        <v>1</v>
      </c>
      <c r="N1034" s="2" t="s">
        <v>33</v>
      </c>
      <c r="O1034">
        <v>1</v>
      </c>
    </row>
    <row r="1035" spans="1:15" x14ac:dyDescent="0.35">
      <c r="A1035" s="2" t="s">
        <v>80</v>
      </c>
      <c r="B1035" s="2" t="s">
        <v>56</v>
      </c>
      <c r="C1035" s="2" t="s">
        <v>235</v>
      </c>
      <c r="D1035" s="2" t="s">
        <v>231</v>
      </c>
      <c r="E1035">
        <v>2021</v>
      </c>
      <c r="F1035" s="2" t="s">
        <v>6</v>
      </c>
      <c r="G1035">
        <v>1</v>
      </c>
      <c r="H1035" s="2" t="s">
        <v>7</v>
      </c>
      <c r="I1035">
        <v>1</v>
      </c>
      <c r="J1035" s="2" t="s">
        <v>17</v>
      </c>
      <c r="K1035">
        <v>1</v>
      </c>
      <c r="L1035" s="2" t="s">
        <v>24</v>
      </c>
      <c r="M1035">
        <v>1</v>
      </c>
      <c r="N1035" s="2" t="s">
        <v>44</v>
      </c>
      <c r="O1035">
        <v>1</v>
      </c>
    </row>
    <row r="1036" spans="1:15" x14ac:dyDescent="0.35">
      <c r="A1036" s="2" t="s">
        <v>81</v>
      </c>
      <c r="B1036" s="2" t="s">
        <v>49</v>
      </c>
      <c r="C1036" s="2" t="s">
        <v>235</v>
      </c>
      <c r="D1036" s="2" t="s">
        <v>232</v>
      </c>
      <c r="E1036">
        <v>2019</v>
      </c>
      <c r="F1036" s="2" t="s">
        <v>6</v>
      </c>
      <c r="G1036">
        <v>1</v>
      </c>
      <c r="H1036" s="2" t="s">
        <v>7</v>
      </c>
      <c r="I1036">
        <v>1</v>
      </c>
      <c r="J1036" s="2" t="s">
        <v>17</v>
      </c>
      <c r="K1036">
        <v>1</v>
      </c>
      <c r="L1036" s="2" t="s">
        <v>22</v>
      </c>
      <c r="M1036">
        <v>1</v>
      </c>
      <c r="N1036" s="2" t="s">
        <v>52</v>
      </c>
      <c r="O1036">
        <v>1</v>
      </c>
    </row>
    <row r="1037" spans="1:15" x14ac:dyDescent="0.35">
      <c r="A1037" s="2" t="s">
        <v>113</v>
      </c>
      <c r="B1037" s="2" t="s">
        <v>49</v>
      </c>
      <c r="C1037" s="2" t="s">
        <v>52</v>
      </c>
      <c r="D1037" s="2" t="s">
        <v>232</v>
      </c>
      <c r="E1037">
        <v>2020</v>
      </c>
      <c r="F1037" s="2" t="s">
        <v>6</v>
      </c>
      <c r="G1037">
        <v>1</v>
      </c>
      <c r="H1037" s="2" t="s">
        <v>10</v>
      </c>
      <c r="I1037">
        <v>1</v>
      </c>
      <c r="J1037" s="2" t="s">
        <v>14</v>
      </c>
      <c r="K1037">
        <v>1</v>
      </c>
      <c r="L1037" s="2" t="s">
        <v>23</v>
      </c>
      <c r="M1037">
        <v>1</v>
      </c>
      <c r="N1037" s="2" t="s">
        <v>37</v>
      </c>
      <c r="O1037">
        <v>1</v>
      </c>
    </row>
    <row r="1038" spans="1:15" x14ac:dyDescent="0.35">
      <c r="A1038" s="2" t="s">
        <v>113</v>
      </c>
      <c r="B1038" s="2" t="s">
        <v>49</v>
      </c>
      <c r="C1038" s="2" t="s">
        <v>52</v>
      </c>
      <c r="D1038" s="2" t="s">
        <v>232</v>
      </c>
      <c r="E1038">
        <v>2020</v>
      </c>
      <c r="F1038" s="2" t="s">
        <v>6</v>
      </c>
      <c r="G1038">
        <v>1</v>
      </c>
      <c r="H1038" s="2" t="s">
        <v>10</v>
      </c>
      <c r="I1038">
        <v>1</v>
      </c>
      <c r="J1038" s="2" t="s">
        <v>14</v>
      </c>
      <c r="K1038">
        <v>1</v>
      </c>
      <c r="L1038" s="2" t="s">
        <v>23</v>
      </c>
      <c r="M1038">
        <v>1</v>
      </c>
      <c r="N1038" s="2" t="s">
        <v>44</v>
      </c>
      <c r="O1038">
        <v>1</v>
      </c>
    </row>
    <row r="1039" spans="1:15" x14ac:dyDescent="0.35">
      <c r="A1039" s="2" t="s">
        <v>113</v>
      </c>
      <c r="B1039" s="2" t="s">
        <v>49</v>
      </c>
      <c r="C1039" s="2" t="s">
        <v>52</v>
      </c>
      <c r="D1039" s="2" t="s">
        <v>232</v>
      </c>
      <c r="E1039">
        <v>2020</v>
      </c>
      <c r="F1039" s="2" t="s">
        <v>6</v>
      </c>
      <c r="G1039">
        <v>1</v>
      </c>
      <c r="H1039" s="2" t="s">
        <v>10</v>
      </c>
      <c r="I1039">
        <v>1</v>
      </c>
      <c r="J1039" s="2" t="s">
        <v>16</v>
      </c>
      <c r="K1039">
        <v>1</v>
      </c>
      <c r="L1039" s="2" t="s">
        <v>23</v>
      </c>
      <c r="M1039">
        <v>1</v>
      </c>
      <c r="N1039" s="2" t="s">
        <v>37</v>
      </c>
      <c r="O1039">
        <v>1</v>
      </c>
    </row>
    <row r="1040" spans="1:15" x14ac:dyDescent="0.35">
      <c r="A1040" s="2" t="s">
        <v>113</v>
      </c>
      <c r="B1040" s="2" t="s">
        <v>49</v>
      </c>
      <c r="C1040" s="2" t="s">
        <v>52</v>
      </c>
      <c r="D1040" s="2" t="s">
        <v>232</v>
      </c>
      <c r="E1040">
        <v>2020</v>
      </c>
      <c r="F1040" s="2" t="s">
        <v>6</v>
      </c>
      <c r="G1040">
        <v>1</v>
      </c>
      <c r="H1040" s="2" t="s">
        <v>10</v>
      </c>
      <c r="I1040">
        <v>1</v>
      </c>
      <c r="J1040" s="2" t="s">
        <v>16</v>
      </c>
      <c r="K1040">
        <v>1</v>
      </c>
      <c r="L1040" s="2" t="s">
        <v>23</v>
      </c>
      <c r="M1040">
        <v>1</v>
      </c>
      <c r="N1040" s="2" t="s">
        <v>44</v>
      </c>
      <c r="O1040">
        <v>1</v>
      </c>
    </row>
    <row r="1041" spans="1:15" x14ac:dyDescent="0.35">
      <c r="A1041" s="2" t="s">
        <v>113</v>
      </c>
      <c r="B1041" s="2" t="s">
        <v>49</v>
      </c>
      <c r="C1041" s="2" t="s">
        <v>52</v>
      </c>
      <c r="D1041" s="2" t="s">
        <v>232</v>
      </c>
      <c r="E1041">
        <v>2020</v>
      </c>
      <c r="F1041" s="2" t="s">
        <v>6</v>
      </c>
      <c r="G1041">
        <v>1</v>
      </c>
      <c r="H1041" s="2" t="s">
        <v>10</v>
      </c>
      <c r="I1041">
        <v>1</v>
      </c>
      <c r="J1041" s="2" t="s">
        <v>17</v>
      </c>
      <c r="K1041">
        <v>1</v>
      </c>
      <c r="L1041" s="2" t="s">
        <v>23</v>
      </c>
      <c r="M1041">
        <v>1</v>
      </c>
      <c r="N1041" s="2" t="s">
        <v>37</v>
      </c>
      <c r="O1041">
        <v>1</v>
      </c>
    </row>
    <row r="1042" spans="1:15" x14ac:dyDescent="0.35">
      <c r="A1042" s="2" t="s">
        <v>113</v>
      </c>
      <c r="B1042" s="2" t="s">
        <v>49</v>
      </c>
      <c r="C1042" s="2" t="s">
        <v>52</v>
      </c>
      <c r="D1042" s="2" t="s">
        <v>232</v>
      </c>
      <c r="E1042">
        <v>2020</v>
      </c>
      <c r="F1042" s="2" t="s">
        <v>6</v>
      </c>
      <c r="G1042">
        <v>1</v>
      </c>
      <c r="H1042" s="2" t="s">
        <v>10</v>
      </c>
      <c r="I1042">
        <v>1</v>
      </c>
      <c r="J1042" s="2" t="s">
        <v>17</v>
      </c>
      <c r="K1042">
        <v>1</v>
      </c>
      <c r="L1042" s="2" t="s">
        <v>23</v>
      </c>
      <c r="M1042">
        <v>1</v>
      </c>
      <c r="N1042" s="2" t="s">
        <v>44</v>
      </c>
      <c r="O1042">
        <v>1</v>
      </c>
    </row>
    <row r="1043" spans="1:15" x14ac:dyDescent="0.35">
      <c r="A1043" s="2" t="s">
        <v>119</v>
      </c>
      <c r="B1043" s="2" t="s">
        <v>56</v>
      </c>
      <c r="C1043" s="2" t="s">
        <v>238</v>
      </c>
      <c r="D1043" s="2" t="s">
        <v>230</v>
      </c>
      <c r="E1043">
        <v>2021</v>
      </c>
      <c r="F1043" s="2" t="s">
        <v>6</v>
      </c>
      <c r="G1043">
        <v>1</v>
      </c>
      <c r="H1043" s="2" t="s">
        <v>7</v>
      </c>
      <c r="I1043">
        <v>1</v>
      </c>
      <c r="J1043" s="2" t="s">
        <v>14</v>
      </c>
      <c r="K1043">
        <v>1</v>
      </c>
      <c r="L1043" s="2" t="s">
        <v>19</v>
      </c>
      <c r="M1043">
        <v>1</v>
      </c>
      <c r="N1043" s="2" t="s">
        <v>27</v>
      </c>
      <c r="O1043">
        <v>1</v>
      </c>
    </row>
    <row r="1044" spans="1:15" x14ac:dyDescent="0.35">
      <c r="A1044" s="2" t="s">
        <v>119</v>
      </c>
      <c r="B1044" s="2" t="s">
        <v>56</v>
      </c>
      <c r="C1044" s="2" t="s">
        <v>238</v>
      </c>
      <c r="D1044" s="2" t="s">
        <v>230</v>
      </c>
      <c r="E1044">
        <v>2021</v>
      </c>
      <c r="F1044" s="2" t="s">
        <v>6</v>
      </c>
      <c r="G1044">
        <v>1</v>
      </c>
      <c r="H1044" s="2" t="s">
        <v>7</v>
      </c>
      <c r="I1044">
        <v>1</v>
      </c>
      <c r="J1044" s="2" t="s">
        <v>14</v>
      </c>
      <c r="K1044">
        <v>1</v>
      </c>
      <c r="L1044" s="2" t="s">
        <v>19</v>
      </c>
      <c r="M1044">
        <v>1</v>
      </c>
      <c r="N1044" s="2" t="s">
        <v>32</v>
      </c>
      <c r="O1044">
        <v>1</v>
      </c>
    </row>
    <row r="1045" spans="1:15" x14ac:dyDescent="0.35">
      <c r="A1045" s="2" t="s">
        <v>119</v>
      </c>
      <c r="B1045" s="2" t="s">
        <v>56</v>
      </c>
      <c r="C1045" s="2" t="s">
        <v>238</v>
      </c>
      <c r="D1045" s="2" t="s">
        <v>230</v>
      </c>
      <c r="E1045">
        <v>2021</v>
      </c>
      <c r="F1045" s="2" t="s">
        <v>6</v>
      </c>
      <c r="G1045">
        <v>1</v>
      </c>
      <c r="H1045" s="2" t="s">
        <v>7</v>
      </c>
      <c r="I1045">
        <v>1</v>
      </c>
      <c r="J1045" s="2" t="s">
        <v>14</v>
      </c>
      <c r="K1045">
        <v>1</v>
      </c>
      <c r="L1045" s="2" t="s">
        <v>19</v>
      </c>
      <c r="M1045">
        <v>1</v>
      </c>
      <c r="N1045" s="2" t="s">
        <v>33</v>
      </c>
      <c r="O1045">
        <v>1</v>
      </c>
    </row>
    <row r="1046" spans="1:15" x14ac:dyDescent="0.35">
      <c r="A1046" s="2" t="s">
        <v>119</v>
      </c>
      <c r="B1046" s="2" t="s">
        <v>56</v>
      </c>
      <c r="C1046" s="2" t="s">
        <v>238</v>
      </c>
      <c r="D1046" s="2" t="s">
        <v>230</v>
      </c>
      <c r="E1046">
        <v>2021</v>
      </c>
      <c r="F1046" s="2" t="s">
        <v>6</v>
      </c>
      <c r="G1046">
        <v>1</v>
      </c>
      <c r="H1046" s="2" t="s">
        <v>7</v>
      </c>
      <c r="I1046">
        <v>1</v>
      </c>
      <c r="J1046" s="2" t="s">
        <v>14</v>
      </c>
      <c r="K1046">
        <v>1</v>
      </c>
      <c r="L1046" s="2" t="s">
        <v>19</v>
      </c>
      <c r="M1046">
        <v>1</v>
      </c>
      <c r="N1046" s="2" t="s">
        <v>44</v>
      </c>
      <c r="O1046">
        <v>1</v>
      </c>
    </row>
    <row r="1047" spans="1:15" x14ac:dyDescent="0.35">
      <c r="A1047" s="2" t="s">
        <v>119</v>
      </c>
      <c r="B1047" s="2" t="s">
        <v>56</v>
      </c>
      <c r="C1047" s="2" t="s">
        <v>238</v>
      </c>
      <c r="D1047" s="2" t="s">
        <v>230</v>
      </c>
      <c r="E1047">
        <v>2021</v>
      </c>
      <c r="F1047" s="2" t="s">
        <v>6</v>
      </c>
      <c r="G1047">
        <v>1</v>
      </c>
      <c r="H1047" s="2" t="s">
        <v>7</v>
      </c>
      <c r="I1047">
        <v>1</v>
      </c>
      <c r="J1047" s="2" t="s">
        <v>14</v>
      </c>
      <c r="K1047">
        <v>1</v>
      </c>
      <c r="L1047" s="2" t="s">
        <v>23</v>
      </c>
      <c r="M1047">
        <v>1</v>
      </c>
      <c r="N1047" s="2" t="s">
        <v>27</v>
      </c>
      <c r="O1047">
        <v>1</v>
      </c>
    </row>
    <row r="1048" spans="1:15" x14ac:dyDescent="0.35">
      <c r="A1048" s="2" t="s">
        <v>119</v>
      </c>
      <c r="B1048" s="2" t="s">
        <v>56</v>
      </c>
      <c r="C1048" s="2" t="s">
        <v>238</v>
      </c>
      <c r="D1048" s="2" t="s">
        <v>230</v>
      </c>
      <c r="E1048">
        <v>2021</v>
      </c>
      <c r="F1048" s="2" t="s">
        <v>6</v>
      </c>
      <c r="G1048">
        <v>1</v>
      </c>
      <c r="H1048" s="2" t="s">
        <v>7</v>
      </c>
      <c r="I1048">
        <v>1</v>
      </c>
      <c r="J1048" s="2" t="s">
        <v>14</v>
      </c>
      <c r="K1048">
        <v>1</v>
      </c>
      <c r="L1048" s="2" t="s">
        <v>23</v>
      </c>
      <c r="M1048">
        <v>1</v>
      </c>
      <c r="N1048" s="2" t="s">
        <v>32</v>
      </c>
      <c r="O1048">
        <v>1</v>
      </c>
    </row>
    <row r="1049" spans="1:15" x14ac:dyDescent="0.35">
      <c r="A1049" s="2" t="s">
        <v>119</v>
      </c>
      <c r="B1049" s="2" t="s">
        <v>56</v>
      </c>
      <c r="C1049" s="2" t="s">
        <v>238</v>
      </c>
      <c r="D1049" s="2" t="s">
        <v>230</v>
      </c>
      <c r="E1049">
        <v>2021</v>
      </c>
      <c r="F1049" s="2" t="s">
        <v>6</v>
      </c>
      <c r="G1049">
        <v>1</v>
      </c>
      <c r="H1049" s="2" t="s">
        <v>7</v>
      </c>
      <c r="I1049">
        <v>1</v>
      </c>
      <c r="J1049" s="2" t="s">
        <v>14</v>
      </c>
      <c r="K1049">
        <v>1</v>
      </c>
      <c r="L1049" s="2" t="s">
        <v>23</v>
      </c>
      <c r="M1049">
        <v>1</v>
      </c>
      <c r="N1049" s="2" t="s">
        <v>33</v>
      </c>
      <c r="O1049">
        <v>1</v>
      </c>
    </row>
    <row r="1050" spans="1:15" x14ac:dyDescent="0.35">
      <c r="A1050" s="2" t="s">
        <v>119</v>
      </c>
      <c r="B1050" s="2" t="s">
        <v>56</v>
      </c>
      <c r="C1050" s="2" t="s">
        <v>238</v>
      </c>
      <c r="D1050" s="2" t="s">
        <v>230</v>
      </c>
      <c r="E1050">
        <v>2021</v>
      </c>
      <c r="F1050" s="2" t="s">
        <v>6</v>
      </c>
      <c r="G1050">
        <v>1</v>
      </c>
      <c r="H1050" s="2" t="s">
        <v>7</v>
      </c>
      <c r="I1050">
        <v>1</v>
      </c>
      <c r="J1050" s="2" t="s">
        <v>14</v>
      </c>
      <c r="K1050">
        <v>1</v>
      </c>
      <c r="L1050" s="2" t="s">
        <v>23</v>
      </c>
      <c r="M1050">
        <v>1</v>
      </c>
      <c r="N1050" s="2" t="s">
        <v>44</v>
      </c>
      <c r="O1050">
        <v>1</v>
      </c>
    </row>
    <row r="1051" spans="1:15" x14ac:dyDescent="0.35">
      <c r="A1051" s="2" t="s">
        <v>119</v>
      </c>
      <c r="B1051" s="2" t="s">
        <v>56</v>
      </c>
      <c r="C1051" s="2" t="s">
        <v>238</v>
      </c>
      <c r="D1051" s="2" t="s">
        <v>230</v>
      </c>
      <c r="E1051">
        <v>2021</v>
      </c>
      <c r="F1051" s="2" t="s">
        <v>6</v>
      </c>
      <c r="G1051">
        <v>1</v>
      </c>
      <c r="H1051" s="2" t="s">
        <v>7</v>
      </c>
      <c r="I1051">
        <v>1</v>
      </c>
      <c r="J1051" s="2" t="s">
        <v>15</v>
      </c>
      <c r="K1051">
        <v>1</v>
      </c>
      <c r="L1051" s="2" t="s">
        <v>19</v>
      </c>
      <c r="M1051">
        <v>1</v>
      </c>
      <c r="N1051" s="2" t="s">
        <v>27</v>
      </c>
      <c r="O1051">
        <v>1</v>
      </c>
    </row>
    <row r="1052" spans="1:15" x14ac:dyDescent="0.35">
      <c r="A1052" s="2" t="s">
        <v>119</v>
      </c>
      <c r="B1052" s="2" t="s">
        <v>56</v>
      </c>
      <c r="C1052" s="2" t="s">
        <v>238</v>
      </c>
      <c r="D1052" s="2" t="s">
        <v>230</v>
      </c>
      <c r="E1052">
        <v>2021</v>
      </c>
      <c r="F1052" s="2" t="s">
        <v>6</v>
      </c>
      <c r="G1052">
        <v>1</v>
      </c>
      <c r="H1052" s="2" t="s">
        <v>7</v>
      </c>
      <c r="I1052">
        <v>1</v>
      </c>
      <c r="J1052" s="2" t="s">
        <v>15</v>
      </c>
      <c r="K1052">
        <v>1</v>
      </c>
      <c r="L1052" s="2" t="s">
        <v>19</v>
      </c>
      <c r="M1052">
        <v>1</v>
      </c>
      <c r="N1052" s="2" t="s">
        <v>32</v>
      </c>
      <c r="O1052">
        <v>1</v>
      </c>
    </row>
    <row r="1053" spans="1:15" x14ac:dyDescent="0.35">
      <c r="A1053" s="2" t="s">
        <v>119</v>
      </c>
      <c r="B1053" s="2" t="s">
        <v>56</v>
      </c>
      <c r="C1053" s="2" t="s">
        <v>238</v>
      </c>
      <c r="D1053" s="2" t="s">
        <v>230</v>
      </c>
      <c r="E1053">
        <v>2021</v>
      </c>
      <c r="F1053" s="2" t="s">
        <v>6</v>
      </c>
      <c r="G1053">
        <v>1</v>
      </c>
      <c r="H1053" s="2" t="s">
        <v>7</v>
      </c>
      <c r="I1053">
        <v>1</v>
      </c>
      <c r="J1053" s="2" t="s">
        <v>15</v>
      </c>
      <c r="K1053">
        <v>1</v>
      </c>
      <c r="L1053" s="2" t="s">
        <v>19</v>
      </c>
      <c r="M1053">
        <v>1</v>
      </c>
      <c r="N1053" s="2" t="s">
        <v>33</v>
      </c>
      <c r="O1053">
        <v>1</v>
      </c>
    </row>
    <row r="1054" spans="1:15" x14ac:dyDescent="0.35">
      <c r="A1054" s="2" t="s">
        <v>119</v>
      </c>
      <c r="B1054" s="2" t="s">
        <v>56</v>
      </c>
      <c r="C1054" s="2" t="s">
        <v>238</v>
      </c>
      <c r="D1054" s="2" t="s">
        <v>230</v>
      </c>
      <c r="E1054">
        <v>2021</v>
      </c>
      <c r="F1054" s="2" t="s">
        <v>6</v>
      </c>
      <c r="G1054">
        <v>1</v>
      </c>
      <c r="H1054" s="2" t="s">
        <v>7</v>
      </c>
      <c r="I1054">
        <v>1</v>
      </c>
      <c r="J1054" s="2" t="s">
        <v>15</v>
      </c>
      <c r="K1054">
        <v>1</v>
      </c>
      <c r="L1054" s="2" t="s">
        <v>19</v>
      </c>
      <c r="M1054">
        <v>1</v>
      </c>
      <c r="N1054" s="2" t="s">
        <v>44</v>
      </c>
      <c r="O1054">
        <v>1</v>
      </c>
    </row>
    <row r="1055" spans="1:15" x14ac:dyDescent="0.35">
      <c r="A1055" s="2" t="s">
        <v>119</v>
      </c>
      <c r="B1055" s="2" t="s">
        <v>56</v>
      </c>
      <c r="C1055" s="2" t="s">
        <v>238</v>
      </c>
      <c r="D1055" s="2" t="s">
        <v>230</v>
      </c>
      <c r="E1055">
        <v>2021</v>
      </c>
      <c r="F1055" s="2" t="s">
        <v>6</v>
      </c>
      <c r="G1055">
        <v>1</v>
      </c>
      <c r="H1055" s="2" t="s">
        <v>7</v>
      </c>
      <c r="I1055">
        <v>1</v>
      </c>
      <c r="J1055" s="2" t="s">
        <v>15</v>
      </c>
      <c r="K1055">
        <v>1</v>
      </c>
      <c r="L1055" s="2" t="s">
        <v>23</v>
      </c>
      <c r="M1055">
        <v>1</v>
      </c>
      <c r="N1055" s="2" t="s">
        <v>27</v>
      </c>
      <c r="O1055">
        <v>1</v>
      </c>
    </row>
    <row r="1056" spans="1:15" x14ac:dyDescent="0.35">
      <c r="A1056" s="2" t="s">
        <v>119</v>
      </c>
      <c r="B1056" s="2" t="s">
        <v>56</v>
      </c>
      <c r="C1056" s="2" t="s">
        <v>238</v>
      </c>
      <c r="D1056" s="2" t="s">
        <v>230</v>
      </c>
      <c r="E1056">
        <v>2021</v>
      </c>
      <c r="F1056" s="2" t="s">
        <v>6</v>
      </c>
      <c r="G1056">
        <v>1</v>
      </c>
      <c r="H1056" s="2" t="s">
        <v>7</v>
      </c>
      <c r="I1056">
        <v>1</v>
      </c>
      <c r="J1056" s="2" t="s">
        <v>15</v>
      </c>
      <c r="K1056">
        <v>1</v>
      </c>
      <c r="L1056" s="2" t="s">
        <v>23</v>
      </c>
      <c r="M1056">
        <v>1</v>
      </c>
      <c r="N1056" s="2" t="s">
        <v>32</v>
      </c>
      <c r="O1056">
        <v>1</v>
      </c>
    </row>
    <row r="1057" spans="1:15" x14ac:dyDescent="0.35">
      <c r="A1057" s="2" t="s">
        <v>119</v>
      </c>
      <c r="B1057" s="2" t="s">
        <v>56</v>
      </c>
      <c r="C1057" s="2" t="s">
        <v>238</v>
      </c>
      <c r="D1057" s="2" t="s">
        <v>230</v>
      </c>
      <c r="E1057">
        <v>2021</v>
      </c>
      <c r="F1057" s="2" t="s">
        <v>6</v>
      </c>
      <c r="G1057">
        <v>1</v>
      </c>
      <c r="H1057" s="2" t="s">
        <v>7</v>
      </c>
      <c r="I1057">
        <v>1</v>
      </c>
      <c r="J1057" s="2" t="s">
        <v>15</v>
      </c>
      <c r="K1057">
        <v>1</v>
      </c>
      <c r="L1057" s="2" t="s">
        <v>23</v>
      </c>
      <c r="M1057">
        <v>1</v>
      </c>
      <c r="N1057" s="2" t="s">
        <v>33</v>
      </c>
      <c r="O1057">
        <v>1</v>
      </c>
    </row>
    <row r="1058" spans="1:15" x14ac:dyDescent="0.35">
      <c r="A1058" s="2" t="s">
        <v>119</v>
      </c>
      <c r="B1058" s="2" t="s">
        <v>56</v>
      </c>
      <c r="C1058" s="2" t="s">
        <v>238</v>
      </c>
      <c r="D1058" s="2" t="s">
        <v>230</v>
      </c>
      <c r="E1058">
        <v>2021</v>
      </c>
      <c r="F1058" s="2" t="s">
        <v>6</v>
      </c>
      <c r="G1058">
        <v>1</v>
      </c>
      <c r="H1058" s="2" t="s">
        <v>7</v>
      </c>
      <c r="I1058">
        <v>1</v>
      </c>
      <c r="J1058" s="2" t="s">
        <v>15</v>
      </c>
      <c r="K1058">
        <v>1</v>
      </c>
      <c r="L1058" s="2" t="s">
        <v>23</v>
      </c>
      <c r="M1058">
        <v>1</v>
      </c>
      <c r="N1058" s="2" t="s">
        <v>44</v>
      </c>
      <c r="O1058">
        <v>1</v>
      </c>
    </row>
    <row r="1059" spans="1:15" x14ac:dyDescent="0.35">
      <c r="A1059" s="2" t="s">
        <v>119</v>
      </c>
      <c r="B1059" s="2" t="s">
        <v>56</v>
      </c>
      <c r="C1059" s="2" t="s">
        <v>238</v>
      </c>
      <c r="D1059" s="2" t="s">
        <v>230</v>
      </c>
      <c r="E1059">
        <v>2021</v>
      </c>
      <c r="F1059" s="2" t="s">
        <v>6</v>
      </c>
      <c r="G1059">
        <v>1</v>
      </c>
      <c r="H1059" s="2" t="s">
        <v>7</v>
      </c>
      <c r="I1059">
        <v>1</v>
      </c>
      <c r="J1059" s="2" t="s">
        <v>16</v>
      </c>
      <c r="K1059">
        <v>1</v>
      </c>
      <c r="L1059" s="2" t="s">
        <v>19</v>
      </c>
      <c r="M1059">
        <v>1</v>
      </c>
      <c r="N1059" s="2" t="s">
        <v>27</v>
      </c>
      <c r="O1059">
        <v>1</v>
      </c>
    </row>
    <row r="1060" spans="1:15" x14ac:dyDescent="0.35">
      <c r="A1060" s="2" t="s">
        <v>119</v>
      </c>
      <c r="B1060" s="2" t="s">
        <v>56</v>
      </c>
      <c r="C1060" s="2" t="s">
        <v>238</v>
      </c>
      <c r="D1060" s="2" t="s">
        <v>230</v>
      </c>
      <c r="E1060">
        <v>2021</v>
      </c>
      <c r="F1060" s="2" t="s">
        <v>6</v>
      </c>
      <c r="G1060">
        <v>1</v>
      </c>
      <c r="H1060" s="2" t="s">
        <v>7</v>
      </c>
      <c r="I1060">
        <v>1</v>
      </c>
      <c r="J1060" s="2" t="s">
        <v>16</v>
      </c>
      <c r="K1060">
        <v>1</v>
      </c>
      <c r="L1060" s="2" t="s">
        <v>19</v>
      </c>
      <c r="M1060">
        <v>1</v>
      </c>
      <c r="N1060" s="2" t="s">
        <v>32</v>
      </c>
      <c r="O1060">
        <v>1</v>
      </c>
    </row>
    <row r="1061" spans="1:15" x14ac:dyDescent="0.35">
      <c r="A1061" s="2" t="s">
        <v>119</v>
      </c>
      <c r="B1061" s="2" t="s">
        <v>56</v>
      </c>
      <c r="C1061" s="2" t="s">
        <v>238</v>
      </c>
      <c r="D1061" s="2" t="s">
        <v>230</v>
      </c>
      <c r="E1061">
        <v>2021</v>
      </c>
      <c r="F1061" s="2" t="s">
        <v>6</v>
      </c>
      <c r="G1061">
        <v>1</v>
      </c>
      <c r="H1061" s="2" t="s">
        <v>7</v>
      </c>
      <c r="I1061">
        <v>1</v>
      </c>
      <c r="J1061" s="2" t="s">
        <v>16</v>
      </c>
      <c r="K1061">
        <v>1</v>
      </c>
      <c r="L1061" s="2" t="s">
        <v>19</v>
      </c>
      <c r="M1061">
        <v>1</v>
      </c>
      <c r="N1061" s="2" t="s">
        <v>33</v>
      </c>
      <c r="O1061">
        <v>1</v>
      </c>
    </row>
    <row r="1062" spans="1:15" x14ac:dyDescent="0.35">
      <c r="A1062" s="2" t="s">
        <v>119</v>
      </c>
      <c r="B1062" s="2" t="s">
        <v>56</v>
      </c>
      <c r="C1062" s="2" t="s">
        <v>238</v>
      </c>
      <c r="D1062" s="2" t="s">
        <v>230</v>
      </c>
      <c r="E1062">
        <v>2021</v>
      </c>
      <c r="F1062" s="2" t="s">
        <v>6</v>
      </c>
      <c r="G1062">
        <v>1</v>
      </c>
      <c r="H1062" s="2" t="s">
        <v>7</v>
      </c>
      <c r="I1062">
        <v>1</v>
      </c>
      <c r="J1062" s="2" t="s">
        <v>16</v>
      </c>
      <c r="K1062">
        <v>1</v>
      </c>
      <c r="L1062" s="2" t="s">
        <v>19</v>
      </c>
      <c r="M1062">
        <v>1</v>
      </c>
      <c r="N1062" s="2" t="s">
        <v>44</v>
      </c>
      <c r="O1062">
        <v>1</v>
      </c>
    </row>
    <row r="1063" spans="1:15" x14ac:dyDescent="0.35">
      <c r="A1063" s="2" t="s">
        <v>119</v>
      </c>
      <c r="B1063" s="2" t="s">
        <v>56</v>
      </c>
      <c r="C1063" s="2" t="s">
        <v>238</v>
      </c>
      <c r="D1063" s="2" t="s">
        <v>230</v>
      </c>
      <c r="E1063">
        <v>2021</v>
      </c>
      <c r="F1063" s="2" t="s">
        <v>6</v>
      </c>
      <c r="G1063">
        <v>1</v>
      </c>
      <c r="H1063" s="2" t="s">
        <v>7</v>
      </c>
      <c r="I1063">
        <v>1</v>
      </c>
      <c r="J1063" s="2" t="s">
        <v>16</v>
      </c>
      <c r="K1063">
        <v>1</v>
      </c>
      <c r="L1063" s="2" t="s">
        <v>23</v>
      </c>
      <c r="M1063">
        <v>1</v>
      </c>
      <c r="N1063" s="2" t="s">
        <v>27</v>
      </c>
      <c r="O1063">
        <v>1</v>
      </c>
    </row>
    <row r="1064" spans="1:15" x14ac:dyDescent="0.35">
      <c r="A1064" s="2" t="s">
        <v>119</v>
      </c>
      <c r="B1064" s="2" t="s">
        <v>56</v>
      </c>
      <c r="C1064" s="2" t="s">
        <v>238</v>
      </c>
      <c r="D1064" s="2" t="s">
        <v>230</v>
      </c>
      <c r="E1064">
        <v>2021</v>
      </c>
      <c r="F1064" s="2" t="s">
        <v>6</v>
      </c>
      <c r="G1064">
        <v>1</v>
      </c>
      <c r="H1064" s="2" t="s">
        <v>7</v>
      </c>
      <c r="I1064">
        <v>1</v>
      </c>
      <c r="J1064" s="2" t="s">
        <v>16</v>
      </c>
      <c r="K1064">
        <v>1</v>
      </c>
      <c r="L1064" s="2" t="s">
        <v>23</v>
      </c>
      <c r="M1064">
        <v>1</v>
      </c>
      <c r="N1064" s="2" t="s">
        <v>32</v>
      </c>
      <c r="O1064">
        <v>1</v>
      </c>
    </row>
    <row r="1065" spans="1:15" x14ac:dyDescent="0.35">
      <c r="A1065" s="2" t="s">
        <v>119</v>
      </c>
      <c r="B1065" s="2" t="s">
        <v>56</v>
      </c>
      <c r="C1065" s="2" t="s">
        <v>238</v>
      </c>
      <c r="D1065" s="2" t="s">
        <v>230</v>
      </c>
      <c r="E1065">
        <v>2021</v>
      </c>
      <c r="F1065" s="2" t="s">
        <v>6</v>
      </c>
      <c r="G1065">
        <v>1</v>
      </c>
      <c r="H1065" s="2" t="s">
        <v>7</v>
      </c>
      <c r="I1065">
        <v>1</v>
      </c>
      <c r="J1065" s="2" t="s">
        <v>16</v>
      </c>
      <c r="K1065">
        <v>1</v>
      </c>
      <c r="L1065" s="2" t="s">
        <v>23</v>
      </c>
      <c r="M1065">
        <v>1</v>
      </c>
      <c r="N1065" s="2" t="s">
        <v>33</v>
      </c>
      <c r="O1065">
        <v>1</v>
      </c>
    </row>
    <row r="1066" spans="1:15" x14ac:dyDescent="0.35">
      <c r="A1066" s="2" t="s">
        <v>119</v>
      </c>
      <c r="B1066" s="2" t="s">
        <v>56</v>
      </c>
      <c r="C1066" s="2" t="s">
        <v>238</v>
      </c>
      <c r="D1066" s="2" t="s">
        <v>230</v>
      </c>
      <c r="E1066">
        <v>2021</v>
      </c>
      <c r="F1066" s="2" t="s">
        <v>6</v>
      </c>
      <c r="G1066">
        <v>1</v>
      </c>
      <c r="H1066" s="2" t="s">
        <v>7</v>
      </c>
      <c r="I1066">
        <v>1</v>
      </c>
      <c r="J1066" s="2" t="s">
        <v>16</v>
      </c>
      <c r="K1066">
        <v>1</v>
      </c>
      <c r="L1066" s="2" t="s">
        <v>23</v>
      </c>
      <c r="M1066">
        <v>1</v>
      </c>
      <c r="N1066" s="2" t="s">
        <v>44</v>
      </c>
      <c r="O1066">
        <v>1</v>
      </c>
    </row>
    <row r="1067" spans="1:15" x14ac:dyDescent="0.35">
      <c r="A1067" s="2" t="s">
        <v>119</v>
      </c>
      <c r="B1067" s="2" t="s">
        <v>56</v>
      </c>
      <c r="C1067" s="2" t="s">
        <v>238</v>
      </c>
      <c r="D1067" s="2" t="s">
        <v>230</v>
      </c>
      <c r="E1067">
        <v>2021</v>
      </c>
      <c r="F1067" s="2" t="s">
        <v>6</v>
      </c>
      <c r="G1067">
        <v>1</v>
      </c>
      <c r="H1067" s="2" t="s">
        <v>7</v>
      </c>
      <c r="I1067">
        <v>1</v>
      </c>
      <c r="J1067" s="2" t="s">
        <v>17</v>
      </c>
      <c r="K1067">
        <v>1</v>
      </c>
      <c r="L1067" s="2" t="s">
        <v>19</v>
      </c>
      <c r="M1067">
        <v>1</v>
      </c>
      <c r="N1067" s="2" t="s">
        <v>27</v>
      </c>
      <c r="O1067">
        <v>1</v>
      </c>
    </row>
    <row r="1068" spans="1:15" x14ac:dyDescent="0.35">
      <c r="A1068" s="2" t="s">
        <v>119</v>
      </c>
      <c r="B1068" s="2" t="s">
        <v>56</v>
      </c>
      <c r="C1068" s="2" t="s">
        <v>238</v>
      </c>
      <c r="D1068" s="2" t="s">
        <v>230</v>
      </c>
      <c r="E1068">
        <v>2021</v>
      </c>
      <c r="F1068" s="2" t="s">
        <v>6</v>
      </c>
      <c r="G1068">
        <v>1</v>
      </c>
      <c r="H1068" s="2" t="s">
        <v>7</v>
      </c>
      <c r="I1068">
        <v>1</v>
      </c>
      <c r="J1068" s="2" t="s">
        <v>17</v>
      </c>
      <c r="K1068">
        <v>1</v>
      </c>
      <c r="L1068" s="2" t="s">
        <v>19</v>
      </c>
      <c r="M1068">
        <v>1</v>
      </c>
      <c r="N1068" s="2" t="s">
        <v>32</v>
      </c>
      <c r="O1068">
        <v>1</v>
      </c>
    </row>
    <row r="1069" spans="1:15" x14ac:dyDescent="0.35">
      <c r="A1069" s="2" t="s">
        <v>119</v>
      </c>
      <c r="B1069" s="2" t="s">
        <v>56</v>
      </c>
      <c r="C1069" s="2" t="s">
        <v>238</v>
      </c>
      <c r="D1069" s="2" t="s">
        <v>230</v>
      </c>
      <c r="E1069">
        <v>2021</v>
      </c>
      <c r="F1069" s="2" t="s">
        <v>6</v>
      </c>
      <c r="G1069">
        <v>1</v>
      </c>
      <c r="H1069" s="2" t="s">
        <v>7</v>
      </c>
      <c r="I1069">
        <v>1</v>
      </c>
      <c r="J1069" s="2" t="s">
        <v>17</v>
      </c>
      <c r="K1069">
        <v>1</v>
      </c>
      <c r="L1069" s="2" t="s">
        <v>19</v>
      </c>
      <c r="M1069">
        <v>1</v>
      </c>
      <c r="N1069" s="2" t="s">
        <v>33</v>
      </c>
      <c r="O1069">
        <v>1</v>
      </c>
    </row>
    <row r="1070" spans="1:15" x14ac:dyDescent="0.35">
      <c r="A1070" s="2" t="s">
        <v>119</v>
      </c>
      <c r="B1070" s="2" t="s">
        <v>56</v>
      </c>
      <c r="C1070" s="2" t="s">
        <v>238</v>
      </c>
      <c r="D1070" s="2" t="s">
        <v>230</v>
      </c>
      <c r="E1070">
        <v>2021</v>
      </c>
      <c r="F1070" s="2" t="s">
        <v>6</v>
      </c>
      <c r="G1070">
        <v>1</v>
      </c>
      <c r="H1070" s="2" t="s">
        <v>7</v>
      </c>
      <c r="I1070">
        <v>1</v>
      </c>
      <c r="J1070" s="2" t="s">
        <v>17</v>
      </c>
      <c r="K1070">
        <v>1</v>
      </c>
      <c r="L1070" s="2" t="s">
        <v>19</v>
      </c>
      <c r="M1070">
        <v>1</v>
      </c>
      <c r="N1070" s="2" t="s">
        <v>44</v>
      </c>
      <c r="O1070">
        <v>1</v>
      </c>
    </row>
    <row r="1071" spans="1:15" x14ac:dyDescent="0.35">
      <c r="A1071" s="2" t="s">
        <v>119</v>
      </c>
      <c r="B1071" s="2" t="s">
        <v>56</v>
      </c>
      <c r="C1071" s="2" t="s">
        <v>238</v>
      </c>
      <c r="D1071" s="2" t="s">
        <v>230</v>
      </c>
      <c r="E1071">
        <v>2021</v>
      </c>
      <c r="F1071" s="2" t="s">
        <v>6</v>
      </c>
      <c r="G1071">
        <v>1</v>
      </c>
      <c r="H1071" s="2" t="s">
        <v>7</v>
      </c>
      <c r="I1071">
        <v>1</v>
      </c>
      <c r="J1071" s="2" t="s">
        <v>17</v>
      </c>
      <c r="K1071">
        <v>1</v>
      </c>
      <c r="L1071" s="2" t="s">
        <v>23</v>
      </c>
      <c r="M1071">
        <v>1</v>
      </c>
      <c r="N1071" s="2" t="s">
        <v>27</v>
      </c>
      <c r="O1071">
        <v>1</v>
      </c>
    </row>
    <row r="1072" spans="1:15" x14ac:dyDescent="0.35">
      <c r="A1072" s="2" t="s">
        <v>119</v>
      </c>
      <c r="B1072" s="2" t="s">
        <v>56</v>
      </c>
      <c r="C1072" s="2" t="s">
        <v>238</v>
      </c>
      <c r="D1072" s="2" t="s">
        <v>230</v>
      </c>
      <c r="E1072">
        <v>2021</v>
      </c>
      <c r="F1072" s="2" t="s">
        <v>6</v>
      </c>
      <c r="G1072">
        <v>1</v>
      </c>
      <c r="H1072" s="2" t="s">
        <v>7</v>
      </c>
      <c r="I1072">
        <v>1</v>
      </c>
      <c r="J1072" s="2" t="s">
        <v>17</v>
      </c>
      <c r="K1072">
        <v>1</v>
      </c>
      <c r="L1072" s="2" t="s">
        <v>23</v>
      </c>
      <c r="M1072">
        <v>1</v>
      </c>
      <c r="N1072" s="2" t="s">
        <v>32</v>
      </c>
      <c r="O1072">
        <v>1</v>
      </c>
    </row>
    <row r="1073" spans="1:15" x14ac:dyDescent="0.35">
      <c r="A1073" s="2" t="s">
        <v>119</v>
      </c>
      <c r="B1073" s="2" t="s">
        <v>56</v>
      </c>
      <c r="C1073" s="2" t="s">
        <v>238</v>
      </c>
      <c r="D1073" s="2" t="s">
        <v>230</v>
      </c>
      <c r="E1073">
        <v>2021</v>
      </c>
      <c r="F1073" s="2" t="s">
        <v>6</v>
      </c>
      <c r="G1073">
        <v>1</v>
      </c>
      <c r="H1073" s="2" t="s">
        <v>7</v>
      </c>
      <c r="I1073">
        <v>1</v>
      </c>
      <c r="J1073" s="2" t="s">
        <v>17</v>
      </c>
      <c r="K1073">
        <v>1</v>
      </c>
      <c r="L1073" s="2" t="s">
        <v>23</v>
      </c>
      <c r="M1073">
        <v>1</v>
      </c>
      <c r="N1073" s="2" t="s">
        <v>33</v>
      </c>
      <c r="O1073">
        <v>1</v>
      </c>
    </row>
    <row r="1074" spans="1:15" x14ac:dyDescent="0.35">
      <c r="A1074" s="2" t="s">
        <v>119</v>
      </c>
      <c r="B1074" s="2" t="s">
        <v>56</v>
      </c>
      <c r="C1074" s="2" t="s">
        <v>238</v>
      </c>
      <c r="D1074" s="2" t="s">
        <v>230</v>
      </c>
      <c r="E1074">
        <v>2021</v>
      </c>
      <c r="F1074" s="2" t="s">
        <v>6</v>
      </c>
      <c r="G1074">
        <v>1</v>
      </c>
      <c r="H1074" s="2" t="s">
        <v>7</v>
      </c>
      <c r="I1074">
        <v>1</v>
      </c>
      <c r="J1074" s="2" t="s">
        <v>17</v>
      </c>
      <c r="K1074">
        <v>1</v>
      </c>
      <c r="L1074" s="2" t="s">
        <v>23</v>
      </c>
      <c r="M1074">
        <v>1</v>
      </c>
      <c r="N1074" s="2" t="s">
        <v>44</v>
      </c>
      <c r="O1074">
        <v>1</v>
      </c>
    </row>
    <row r="1075" spans="1:15" x14ac:dyDescent="0.35">
      <c r="A1075" s="2" t="s">
        <v>120</v>
      </c>
      <c r="B1075" s="2" t="s">
        <v>66</v>
      </c>
      <c r="C1075" s="2" t="s">
        <v>238</v>
      </c>
      <c r="D1075" s="2" t="s">
        <v>230</v>
      </c>
      <c r="E1075">
        <v>2021</v>
      </c>
      <c r="F1075" s="2" t="s">
        <v>6</v>
      </c>
      <c r="G1075">
        <v>1</v>
      </c>
      <c r="H1075" s="2" t="s">
        <v>9</v>
      </c>
      <c r="I1075">
        <v>1</v>
      </c>
      <c r="J1075" s="2" t="s">
        <v>15</v>
      </c>
      <c r="K1075">
        <v>1</v>
      </c>
      <c r="L1075" s="2" t="s">
        <v>22</v>
      </c>
      <c r="M1075">
        <v>1</v>
      </c>
      <c r="N1075" s="2" t="s">
        <v>44</v>
      </c>
      <c r="O1075">
        <v>1</v>
      </c>
    </row>
    <row r="1076" spans="1:15" x14ac:dyDescent="0.35">
      <c r="A1076" s="2" t="s">
        <v>120</v>
      </c>
      <c r="B1076" s="2" t="s">
        <v>66</v>
      </c>
      <c r="C1076" s="2" t="s">
        <v>238</v>
      </c>
      <c r="D1076" s="2" t="s">
        <v>230</v>
      </c>
      <c r="E1076">
        <v>2021</v>
      </c>
      <c r="F1076" s="2" t="s">
        <v>6</v>
      </c>
      <c r="G1076">
        <v>1</v>
      </c>
      <c r="H1076" s="2" t="s">
        <v>9</v>
      </c>
      <c r="I1076">
        <v>1</v>
      </c>
      <c r="J1076" s="2" t="s">
        <v>15</v>
      </c>
      <c r="K1076">
        <v>1</v>
      </c>
      <c r="L1076" s="2" t="s">
        <v>24</v>
      </c>
      <c r="M1076">
        <v>1</v>
      </c>
      <c r="N1076" s="2" t="s">
        <v>44</v>
      </c>
      <c r="O1076">
        <v>1</v>
      </c>
    </row>
    <row r="1077" spans="1:15" x14ac:dyDescent="0.35">
      <c r="A1077" s="2" t="s">
        <v>120</v>
      </c>
      <c r="B1077" s="2" t="s">
        <v>66</v>
      </c>
      <c r="C1077" s="2" t="s">
        <v>238</v>
      </c>
      <c r="D1077" s="2" t="s">
        <v>230</v>
      </c>
      <c r="E1077">
        <v>2021</v>
      </c>
      <c r="F1077" s="2" t="s">
        <v>6</v>
      </c>
      <c r="G1077">
        <v>1</v>
      </c>
      <c r="H1077" s="2" t="s">
        <v>9</v>
      </c>
      <c r="I1077">
        <v>1</v>
      </c>
      <c r="J1077" s="2" t="s">
        <v>17</v>
      </c>
      <c r="K1077">
        <v>1</v>
      </c>
      <c r="L1077" s="2" t="s">
        <v>22</v>
      </c>
      <c r="M1077">
        <v>1</v>
      </c>
      <c r="N1077" s="2" t="s">
        <v>44</v>
      </c>
      <c r="O1077">
        <v>1</v>
      </c>
    </row>
    <row r="1078" spans="1:15" x14ac:dyDescent="0.35">
      <c r="A1078" s="2" t="s">
        <v>120</v>
      </c>
      <c r="B1078" s="2" t="s">
        <v>66</v>
      </c>
      <c r="C1078" s="2" t="s">
        <v>238</v>
      </c>
      <c r="D1078" s="2" t="s">
        <v>230</v>
      </c>
      <c r="E1078">
        <v>2021</v>
      </c>
      <c r="F1078" s="2" t="s">
        <v>6</v>
      </c>
      <c r="G1078">
        <v>1</v>
      </c>
      <c r="H1078" s="2" t="s">
        <v>9</v>
      </c>
      <c r="I1078">
        <v>1</v>
      </c>
      <c r="J1078" s="2" t="s">
        <v>17</v>
      </c>
      <c r="K1078">
        <v>1</v>
      </c>
      <c r="L1078" s="2" t="s">
        <v>24</v>
      </c>
      <c r="M1078">
        <v>1</v>
      </c>
      <c r="N1078" s="2" t="s">
        <v>44</v>
      </c>
      <c r="O1078">
        <v>1</v>
      </c>
    </row>
    <row r="1079" spans="1:15" x14ac:dyDescent="0.35">
      <c r="A1079" s="2" t="s">
        <v>138</v>
      </c>
      <c r="B1079" s="2" t="s">
        <v>49</v>
      </c>
      <c r="C1079" s="2" t="s">
        <v>235</v>
      </c>
      <c r="D1079" s="2" t="s">
        <v>230</v>
      </c>
      <c r="E1079">
        <v>2021</v>
      </c>
      <c r="F1079" s="2" t="s">
        <v>6</v>
      </c>
      <c r="G1079">
        <v>1</v>
      </c>
      <c r="H1079" s="2" t="s">
        <v>7</v>
      </c>
      <c r="I1079">
        <v>1</v>
      </c>
      <c r="J1079" s="2" t="s">
        <v>14</v>
      </c>
      <c r="K1079">
        <v>1</v>
      </c>
      <c r="L1079" s="2" t="s">
        <v>19</v>
      </c>
      <c r="M1079">
        <v>1</v>
      </c>
      <c r="N1079" s="2" t="s">
        <v>31</v>
      </c>
      <c r="O1079">
        <v>1</v>
      </c>
    </row>
    <row r="1080" spans="1:15" x14ac:dyDescent="0.35">
      <c r="A1080" s="2" t="s">
        <v>138</v>
      </c>
      <c r="B1080" s="2" t="s">
        <v>49</v>
      </c>
      <c r="C1080" s="2" t="s">
        <v>235</v>
      </c>
      <c r="D1080" s="2" t="s">
        <v>230</v>
      </c>
      <c r="E1080">
        <v>2021</v>
      </c>
      <c r="F1080" s="2" t="s">
        <v>6</v>
      </c>
      <c r="G1080">
        <v>1</v>
      </c>
      <c r="H1080" s="2" t="s">
        <v>7</v>
      </c>
      <c r="I1080">
        <v>1</v>
      </c>
      <c r="J1080" s="2" t="s">
        <v>14</v>
      </c>
      <c r="K1080">
        <v>1</v>
      </c>
      <c r="L1080" s="2" t="s">
        <v>22</v>
      </c>
      <c r="M1080">
        <v>1</v>
      </c>
      <c r="N1080" s="2" t="s">
        <v>31</v>
      </c>
      <c r="O1080">
        <v>1</v>
      </c>
    </row>
    <row r="1081" spans="1:15" x14ac:dyDescent="0.35">
      <c r="A1081" s="2" t="s">
        <v>138</v>
      </c>
      <c r="B1081" s="2" t="s">
        <v>49</v>
      </c>
      <c r="C1081" s="2" t="s">
        <v>235</v>
      </c>
      <c r="D1081" s="2" t="s">
        <v>230</v>
      </c>
      <c r="E1081">
        <v>2021</v>
      </c>
      <c r="F1081" s="2" t="s">
        <v>6</v>
      </c>
      <c r="G1081">
        <v>1</v>
      </c>
      <c r="H1081" s="2" t="s">
        <v>7</v>
      </c>
      <c r="I1081">
        <v>1</v>
      </c>
      <c r="J1081" s="2" t="s">
        <v>15</v>
      </c>
      <c r="K1081">
        <v>1</v>
      </c>
      <c r="L1081" s="2" t="s">
        <v>19</v>
      </c>
      <c r="M1081">
        <v>1</v>
      </c>
      <c r="N1081" s="2" t="s">
        <v>31</v>
      </c>
      <c r="O1081">
        <v>1</v>
      </c>
    </row>
    <row r="1082" spans="1:15" x14ac:dyDescent="0.35">
      <c r="A1082" s="2" t="s">
        <v>138</v>
      </c>
      <c r="B1082" s="2" t="s">
        <v>49</v>
      </c>
      <c r="C1082" s="2" t="s">
        <v>235</v>
      </c>
      <c r="D1082" s="2" t="s">
        <v>230</v>
      </c>
      <c r="E1082">
        <v>2021</v>
      </c>
      <c r="F1082" s="2" t="s">
        <v>6</v>
      </c>
      <c r="G1082">
        <v>1</v>
      </c>
      <c r="H1082" s="2" t="s">
        <v>7</v>
      </c>
      <c r="I1082">
        <v>1</v>
      </c>
      <c r="J1082" s="2" t="s">
        <v>15</v>
      </c>
      <c r="K1082">
        <v>1</v>
      </c>
      <c r="L1082" s="2" t="s">
        <v>22</v>
      </c>
      <c r="M1082">
        <v>1</v>
      </c>
      <c r="N1082" s="2" t="s">
        <v>31</v>
      </c>
      <c r="O1082">
        <v>1</v>
      </c>
    </row>
    <row r="1083" spans="1:15" x14ac:dyDescent="0.35">
      <c r="A1083" s="2" t="s">
        <v>175</v>
      </c>
      <c r="B1083" s="2" t="s">
        <v>66</v>
      </c>
      <c r="C1083" s="2" t="s">
        <v>238</v>
      </c>
      <c r="D1083" s="2" t="s">
        <v>231</v>
      </c>
      <c r="E1083">
        <v>2021</v>
      </c>
      <c r="F1083" s="2" t="s">
        <v>6</v>
      </c>
      <c r="G1083">
        <v>1</v>
      </c>
      <c r="H1083" s="2" t="s">
        <v>10</v>
      </c>
      <c r="I1083">
        <v>1</v>
      </c>
      <c r="J1083" s="2" t="s">
        <v>15</v>
      </c>
      <c r="K1083">
        <v>1</v>
      </c>
      <c r="L1083" s="2" t="s">
        <v>24</v>
      </c>
      <c r="M1083">
        <v>1</v>
      </c>
      <c r="N1083" s="2" t="s">
        <v>37</v>
      </c>
      <c r="O1083">
        <v>1</v>
      </c>
    </row>
    <row r="1084" spans="1:15" x14ac:dyDescent="0.35">
      <c r="A1084" s="2" t="s">
        <v>175</v>
      </c>
      <c r="B1084" s="2" t="s">
        <v>66</v>
      </c>
      <c r="C1084" s="2" t="s">
        <v>238</v>
      </c>
      <c r="D1084" s="2" t="s">
        <v>231</v>
      </c>
      <c r="E1084">
        <v>2021</v>
      </c>
      <c r="F1084" s="2" t="s">
        <v>6</v>
      </c>
      <c r="G1084">
        <v>1</v>
      </c>
      <c r="H1084" s="2" t="s">
        <v>10</v>
      </c>
      <c r="I1084">
        <v>1</v>
      </c>
      <c r="J1084" s="2" t="s">
        <v>15</v>
      </c>
      <c r="K1084">
        <v>1</v>
      </c>
      <c r="L1084" s="2" t="s">
        <v>24</v>
      </c>
      <c r="M1084">
        <v>1</v>
      </c>
      <c r="N1084" s="2" t="s">
        <v>38</v>
      </c>
      <c r="O1084">
        <v>1</v>
      </c>
    </row>
    <row r="1085" spans="1:15" x14ac:dyDescent="0.35">
      <c r="A1085" s="2" t="s">
        <v>175</v>
      </c>
      <c r="B1085" s="2" t="s">
        <v>66</v>
      </c>
      <c r="C1085" s="2" t="s">
        <v>238</v>
      </c>
      <c r="D1085" s="2" t="s">
        <v>231</v>
      </c>
      <c r="E1085">
        <v>2021</v>
      </c>
      <c r="F1085" s="2" t="s">
        <v>6</v>
      </c>
      <c r="G1085">
        <v>1</v>
      </c>
      <c r="H1085" s="2" t="s">
        <v>10</v>
      </c>
      <c r="I1085">
        <v>1</v>
      </c>
      <c r="J1085" s="2" t="s">
        <v>16</v>
      </c>
      <c r="K1085">
        <v>1</v>
      </c>
      <c r="L1085" s="2" t="s">
        <v>24</v>
      </c>
      <c r="M1085">
        <v>1</v>
      </c>
      <c r="N1085" s="2" t="s">
        <v>37</v>
      </c>
      <c r="O1085">
        <v>1</v>
      </c>
    </row>
    <row r="1086" spans="1:15" x14ac:dyDescent="0.35">
      <c r="A1086" s="2" t="s">
        <v>175</v>
      </c>
      <c r="B1086" s="2" t="s">
        <v>66</v>
      </c>
      <c r="C1086" s="2" t="s">
        <v>238</v>
      </c>
      <c r="D1086" s="2" t="s">
        <v>231</v>
      </c>
      <c r="E1086">
        <v>2021</v>
      </c>
      <c r="F1086" s="2" t="s">
        <v>6</v>
      </c>
      <c r="G1086">
        <v>1</v>
      </c>
      <c r="H1086" s="2" t="s">
        <v>10</v>
      </c>
      <c r="I1086">
        <v>1</v>
      </c>
      <c r="J1086" s="2" t="s">
        <v>16</v>
      </c>
      <c r="K1086">
        <v>1</v>
      </c>
      <c r="L1086" s="2" t="s">
        <v>24</v>
      </c>
      <c r="M1086">
        <v>1</v>
      </c>
      <c r="N1086" s="2" t="s">
        <v>38</v>
      </c>
      <c r="O1086">
        <v>1</v>
      </c>
    </row>
    <row r="1087" spans="1:15" x14ac:dyDescent="0.35">
      <c r="A1087" s="2" t="s">
        <v>185</v>
      </c>
      <c r="B1087" s="2" t="s">
        <v>66</v>
      </c>
      <c r="C1087" s="2" t="s">
        <v>52</v>
      </c>
      <c r="D1087" s="2" t="s">
        <v>232</v>
      </c>
      <c r="E1087">
        <v>2020</v>
      </c>
      <c r="F1087" s="2" t="s">
        <v>6</v>
      </c>
      <c r="G1087">
        <v>1</v>
      </c>
      <c r="H1087" s="2" t="s">
        <v>9</v>
      </c>
      <c r="I1087">
        <v>1</v>
      </c>
      <c r="J1087" s="2" t="s">
        <v>17</v>
      </c>
      <c r="K1087">
        <v>1</v>
      </c>
      <c r="L1087" s="2" t="s">
        <v>22</v>
      </c>
      <c r="M1087">
        <v>1</v>
      </c>
      <c r="N1087" s="2" t="s">
        <v>37</v>
      </c>
      <c r="O1087">
        <v>1</v>
      </c>
    </row>
    <row r="1088" spans="1:15" x14ac:dyDescent="0.35">
      <c r="A1088" s="2" t="s">
        <v>185</v>
      </c>
      <c r="B1088" s="2" t="s">
        <v>66</v>
      </c>
      <c r="C1088" s="2" t="s">
        <v>52</v>
      </c>
      <c r="D1088" s="2" t="s">
        <v>232</v>
      </c>
      <c r="E1088">
        <v>2020</v>
      </c>
      <c r="F1088" s="2" t="s">
        <v>6</v>
      </c>
      <c r="G1088">
        <v>1</v>
      </c>
      <c r="H1088" s="2" t="s">
        <v>9</v>
      </c>
      <c r="I1088">
        <v>1</v>
      </c>
      <c r="J1088" s="2" t="s">
        <v>17</v>
      </c>
      <c r="K1088">
        <v>1</v>
      </c>
      <c r="L1088" s="2" t="s">
        <v>22</v>
      </c>
      <c r="M1088">
        <v>1</v>
      </c>
      <c r="N1088" s="2" t="s">
        <v>44</v>
      </c>
      <c r="O1088">
        <v>1</v>
      </c>
    </row>
    <row r="1089" spans="1:15" x14ac:dyDescent="0.35">
      <c r="A1089" s="2" t="s">
        <v>185</v>
      </c>
      <c r="B1089" s="2" t="s">
        <v>66</v>
      </c>
      <c r="C1089" s="2" t="s">
        <v>52</v>
      </c>
      <c r="D1089" s="2" t="s">
        <v>232</v>
      </c>
      <c r="E1089">
        <v>2020</v>
      </c>
      <c r="F1089" s="2" t="s">
        <v>6</v>
      </c>
      <c r="G1089">
        <v>1</v>
      </c>
      <c r="H1089" s="2" t="s">
        <v>12</v>
      </c>
      <c r="I1089">
        <v>1</v>
      </c>
      <c r="J1089" s="2" t="s">
        <v>17</v>
      </c>
      <c r="K1089">
        <v>1</v>
      </c>
      <c r="L1089" s="2" t="s">
        <v>22</v>
      </c>
      <c r="M1089">
        <v>1</v>
      </c>
      <c r="N1089" s="2" t="s">
        <v>37</v>
      </c>
      <c r="O1089">
        <v>1</v>
      </c>
    </row>
    <row r="1090" spans="1:15" x14ac:dyDescent="0.35">
      <c r="A1090" s="2" t="s">
        <v>185</v>
      </c>
      <c r="B1090" s="2" t="s">
        <v>66</v>
      </c>
      <c r="C1090" s="2" t="s">
        <v>52</v>
      </c>
      <c r="D1090" s="2" t="s">
        <v>232</v>
      </c>
      <c r="E1090">
        <v>2020</v>
      </c>
      <c r="F1090" s="2" t="s">
        <v>6</v>
      </c>
      <c r="G1090">
        <v>1</v>
      </c>
      <c r="H1090" s="2" t="s">
        <v>12</v>
      </c>
      <c r="I1090">
        <v>1</v>
      </c>
      <c r="J1090" s="2" t="s">
        <v>17</v>
      </c>
      <c r="K1090">
        <v>1</v>
      </c>
      <c r="L1090" s="2" t="s">
        <v>22</v>
      </c>
      <c r="M1090">
        <v>1</v>
      </c>
      <c r="N1090" s="2" t="s">
        <v>44</v>
      </c>
      <c r="O1090">
        <v>1</v>
      </c>
    </row>
    <row r="1091" spans="1:15" x14ac:dyDescent="0.35">
      <c r="A1091" s="2" t="s">
        <v>58</v>
      </c>
      <c r="B1091" s="2" t="s">
        <v>49</v>
      </c>
      <c r="C1091" s="2" t="s">
        <v>52</v>
      </c>
      <c r="D1091" s="2" t="s">
        <v>232</v>
      </c>
      <c r="E1091">
        <v>2010</v>
      </c>
      <c r="F1091" s="2" t="s">
        <v>6</v>
      </c>
      <c r="G1091">
        <v>1</v>
      </c>
      <c r="H1091" s="2" t="s">
        <v>13</v>
      </c>
      <c r="I1091">
        <v>1</v>
      </c>
      <c r="J1091" s="2" t="s">
        <v>15</v>
      </c>
      <c r="K1091">
        <v>1</v>
      </c>
      <c r="L1091" s="2" t="s">
        <v>19</v>
      </c>
      <c r="M1091">
        <v>1</v>
      </c>
      <c r="N1091" s="2" t="s">
        <v>31</v>
      </c>
      <c r="O1091">
        <v>1</v>
      </c>
    </row>
    <row r="1092" spans="1:15" x14ac:dyDescent="0.35">
      <c r="A1092" s="2" t="s">
        <v>58</v>
      </c>
      <c r="B1092" s="2" t="s">
        <v>49</v>
      </c>
      <c r="C1092" s="2" t="s">
        <v>52</v>
      </c>
      <c r="D1092" s="2" t="s">
        <v>232</v>
      </c>
      <c r="E1092">
        <v>2010</v>
      </c>
      <c r="F1092" s="2" t="s">
        <v>6</v>
      </c>
      <c r="G1092">
        <v>1</v>
      </c>
      <c r="H1092" s="2" t="s">
        <v>13</v>
      </c>
      <c r="I1092">
        <v>1</v>
      </c>
      <c r="J1092" s="2" t="s">
        <v>15</v>
      </c>
      <c r="K1092">
        <v>1</v>
      </c>
      <c r="L1092" s="2" t="s">
        <v>19</v>
      </c>
      <c r="M1092">
        <v>1</v>
      </c>
      <c r="N1092" s="2" t="s">
        <v>32</v>
      </c>
      <c r="O1092">
        <v>1</v>
      </c>
    </row>
    <row r="1093" spans="1:15" x14ac:dyDescent="0.35">
      <c r="A1093" s="2" t="s">
        <v>58</v>
      </c>
      <c r="B1093" s="2" t="s">
        <v>49</v>
      </c>
      <c r="C1093" s="2" t="s">
        <v>52</v>
      </c>
      <c r="D1093" s="2" t="s">
        <v>232</v>
      </c>
      <c r="E1093">
        <v>2010</v>
      </c>
      <c r="F1093" s="2" t="s">
        <v>6</v>
      </c>
      <c r="G1093">
        <v>1</v>
      </c>
      <c r="H1093" s="2" t="s">
        <v>13</v>
      </c>
      <c r="I1093">
        <v>1</v>
      </c>
      <c r="J1093" s="2" t="s">
        <v>15</v>
      </c>
      <c r="K1093">
        <v>1</v>
      </c>
      <c r="L1093" s="2" t="s">
        <v>19</v>
      </c>
      <c r="M1093">
        <v>1</v>
      </c>
      <c r="N1093" s="2" t="s">
        <v>37</v>
      </c>
      <c r="O1093">
        <v>1</v>
      </c>
    </row>
    <row r="1094" spans="1:15" x14ac:dyDescent="0.35">
      <c r="A1094" s="2" t="s">
        <v>58</v>
      </c>
      <c r="B1094" s="2" t="s">
        <v>49</v>
      </c>
      <c r="C1094" s="2" t="s">
        <v>52</v>
      </c>
      <c r="D1094" s="2" t="s">
        <v>232</v>
      </c>
      <c r="E1094">
        <v>2010</v>
      </c>
      <c r="F1094" s="2" t="s">
        <v>6</v>
      </c>
      <c r="G1094">
        <v>1</v>
      </c>
      <c r="H1094" s="2" t="s">
        <v>13</v>
      </c>
      <c r="I1094">
        <v>1</v>
      </c>
      <c r="J1094" s="2" t="s">
        <v>15</v>
      </c>
      <c r="K1094">
        <v>1</v>
      </c>
      <c r="L1094" s="2" t="s">
        <v>22</v>
      </c>
      <c r="M1094">
        <v>1</v>
      </c>
      <c r="N1094" s="2" t="s">
        <v>31</v>
      </c>
      <c r="O1094">
        <v>1</v>
      </c>
    </row>
    <row r="1095" spans="1:15" x14ac:dyDescent="0.35">
      <c r="A1095" s="2" t="s">
        <v>58</v>
      </c>
      <c r="B1095" s="2" t="s">
        <v>49</v>
      </c>
      <c r="C1095" s="2" t="s">
        <v>52</v>
      </c>
      <c r="D1095" s="2" t="s">
        <v>232</v>
      </c>
      <c r="E1095">
        <v>2010</v>
      </c>
      <c r="F1095" s="2" t="s">
        <v>6</v>
      </c>
      <c r="G1095">
        <v>1</v>
      </c>
      <c r="H1095" s="2" t="s">
        <v>13</v>
      </c>
      <c r="I1095">
        <v>1</v>
      </c>
      <c r="J1095" s="2" t="s">
        <v>15</v>
      </c>
      <c r="K1095">
        <v>1</v>
      </c>
      <c r="L1095" s="2" t="s">
        <v>22</v>
      </c>
      <c r="M1095">
        <v>1</v>
      </c>
      <c r="N1095" s="2" t="s">
        <v>32</v>
      </c>
      <c r="O1095">
        <v>1</v>
      </c>
    </row>
    <row r="1096" spans="1:15" x14ac:dyDescent="0.35">
      <c r="A1096" s="2" t="s">
        <v>58</v>
      </c>
      <c r="B1096" s="2" t="s">
        <v>49</v>
      </c>
      <c r="C1096" s="2" t="s">
        <v>52</v>
      </c>
      <c r="D1096" s="2" t="s">
        <v>232</v>
      </c>
      <c r="E1096">
        <v>2010</v>
      </c>
      <c r="F1096" s="2" t="s">
        <v>6</v>
      </c>
      <c r="G1096">
        <v>1</v>
      </c>
      <c r="H1096" s="2" t="s">
        <v>13</v>
      </c>
      <c r="I1096">
        <v>1</v>
      </c>
      <c r="J1096" s="2" t="s">
        <v>15</v>
      </c>
      <c r="K1096">
        <v>1</v>
      </c>
      <c r="L1096" s="2" t="s">
        <v>22</v>
      </c>
      <c r="M1096">
        <v>1</v>
      </c>
      <c r="N1096" s="2" t="s">
        <v>37</v>
      </c>
      <c r="O1096">
        <v>1</v>
      </c>
    </row>
    <row r="1097" spans="1:15" x14ac:dyDescent="0.35">
      <c r="A1097" s="2" t="s">
        <v>58</v>
      </c>
      <c r="B1097" s="2" t="s">
        <v>49</v>
      </c>
      <c r="C1097" s="2" t="s">
        <v>52</v>
      </c>
      <c r="D1097" s="2" t="s">
        <v>232</v>
      </c>
      <c r="E1097">
        <v>2010</v>
      </c>
      <c r="F1097" s="2" t="s">
        <v>6</v>
      </c>
      <c r="G1097">
        <v>1</v>
      </c>
      <c r="H1097" s="2" t="s">
        <v>13</v>
      </c>
      <c r="I1097">
        <v>1</v>
      </c>
      <c r="J1097" s="2" t="s">
        <v>16</v>
      </c>
      <c r="K1097">
        <v>1</v>
      </c>
      <c r="L1097" s="2" t="s">
        <v>19</v>
      </c>
      <c r="M1097">
        <v>1</v>
      </c>
      <c r="N1097" s="2" t="s">
        <v>31</v>
      </c>
      <c r="O1097">
        <v>1</v>
      </c>
    </row>
    <row r="1098" spans="1:15" x14ac:dyDescent="0.35">
      <c r="A1098" s="2" t="s">
        <v>58</v>
      </c>
      <c r="B1098" s="2" t="s">
        <v>49</v>
      </c>
      <c r="C1098" s="2" t="s">
        <v>52</v>
      </c>
      <c r="D1098" s="2" t="s">
        <v>232</v>
      </c>
      <c r="E1098">
        <v>2010</v>
      </c>
      <c r="F1098" s="2" t="s">
        <v>6</v>
      </c>
      <c r="G1098">
        <v>1</v>
      </c>
      <c r="H1098" s="2" t="s">
        <v>13</v>
      </c>
      <c r="I1098">
        <v>1</v>
      </c>
      <c r="J1098" s="2" t="s">
        <v>16</v>
      </c>
      <c r="K1098">
        <v>1</v>
      </c>
      <c r="L1098" s="2" t="s">
        <v>19</v>
      </c>
      <c r="M1098">
        <v>1</v>
      </c>
      <c r="N1098" s="2" t="s">
        <v>32</v>
      </c>
      <c r="O1098">
        <v>1</v>
      </c>
    </row>
    <row r="1099" spans="1:15" x14ac:dyDescent="0.35">
      <c r="A1099" s="2" t="s">
        <v>58</v>
      </c>
      <c r="B1099" s="2" t="s">
        <v>49</v>
      </c>
      <c r="C1099" s="2" t="s">
        <v>52</v>
      </c>
      <c r="D1099" s="2" t="s">
        <v>232</v>
      </c>
      <c r="E1099">
        <v>2010</v>
      </c>
      <c r="F1099" s="2" t="s">
        <v>6</v>
      </c>
      <c r="G1099">
        <v>1</v>
      </c>
      <c r="H1099" s="2" t="s">
        <v>13</v>
      </c>
      <c r="I1099">
        <v>1</v>
      </c>
      <c r="J1099" s="2" t="s">
        <v>16</v>
      </c>
      <c r="K1099">
        <v>1</v>
      </c>
      <c r="L1099" s="2" t="s">
        <v>19</v>
      </c>
      <c r="M1099">
        <v>1</v>
      </c>
      <c r="N1099" s="2" t="s">
        <v>37</v>
      </c>
      <c r="O1099">
        <v>1</v>
      </c>
    </row>
    <row r="1100" spans="1:15" x14ac:dyDescent="0.35">
      <c r="A1100" s="2" t="s">
        <v>58</v>
      </c>
      <c r="B1100" s="2" t="s">
        <v>49</v>
      </c>
      <c r="C1100" s="2" t="s">
        <v>52</v>
      </c>
      <c r="D1100" s="2" t="s">
        <v>232</v>
      </c>
      <c r="E1100">
        <v>2010</v>
      </c>
      <c r="F1100" s="2" t="s">
        <v>6</v>
      </c>
      <c r="G1100">
        <v>1</v>
      </c>
      <c r="H1100" s="2" t="s">
        <v>13</v>
      </c>
      <c r="I1100">
        <v>1</v>
      </c>
      <c r="J1100" s="2" t="s">
        <v>16</v>
      </c>
      <c r="K1100">
        <v>1</v>
      </c>
      <c r="L1100" s="2" t="s">
        <v>22</v>
      </c>
      <c r="M1100">
        <v>1</v>
      </c>
      <c r="N1100" s="2" t="s">
        <v>31</v>
      </c>
      <c r="O1100">
        <v>1</v>
      </c>
    </row>
    <row r="1101" spans="1:15" x14ac:dyDescent="0.35">
      <c r="A1101" s="2" t="s">
        <v>58</v>
      </c>
      <c r="B1101" s="2" t="s">
        <v>49</v>
      </c>
      <c r="C1101" s="2" t="s">
        <v>52</v>
      </c>
      <c r="D1101" s="2" t="s">
        <v>232</v>
      </c>
      <c r="E1101">
        <v>2010</v>
      </c>
      <c r="F1101" s="2" t="s">
        <v>6</v>
      </c>
      <c r="G1101">
        <v>1</v>
      </c>
      <c r="H1101" s="2" t="s">
        <v>13</v>
      </c>
      <c r="I1101">
        <v>1</v>
      </c>
      <c r="J1101" s="2" t="s">
        <v>16</v>
      </c>
      <c r="K1101">
        <v>1</v>
      </c>
      <c r="L1101" s="2" t="s">
        <v>22</v>
      </c>
      <c r="M1101">
        <v>1</v>
      </c>
      <c r="N1101" s="2" t="s">
        <v>32</v>
      </c>
      <c r="O1101">
        <v>1</v>
      </c>
    </row>
    <row r="1102" spans="1:15" x14ac:dyDescent="0.35">
      <c r="A1102" s="2" t="s">
        <v>58</v>
      </c>
      <c r="B1102" s="2" t="s">
        <v>49</v>
      </c>
      <c r="C1102" s="2" t="s">
        <v>52</v>
      </c>
      <c r="D1102" s="2" t="s">
        <v>232</v>
      </c>
      <c r="E1102">
        <v>2010</v>
      </c>
      <c r="F1102" s="2" t="s">
        <v>6</v>
      </c>
      <c r="G1102">
        <v>1</v>
      </c>
      <c r="H1102" s="2" t="s">
        <v>13</v>
      </c>
      <c r="I1102">
        <v>1</v>
      </c>
      <c r="J1102" s="2" t="s">
        <v>16</v>
      </c>
      <c r="K1102">
        <v>1</v>
      </c>
      <c r="L1102" s="2" t="s">
        <v>22</v>
      </c>
      <c r="M1102">
        <v>1</v>
      </c>
      <c r="N1102" s="2" t="s">
        <v>37</v>
      </c>
      <c r="O1102">
        <v>1</v>
      </c>
    </row>
    <row r="1103" spans="1:15" x14ac:dyDescent="0.35">
      <c r="A1103" s="2" t="s">
        <v>58</v>
      </c>
      <c r="B1103" s="2" t="s">
        <v>49</v>
      </c>
      <c r="C1103" s="2" t="s">
        <v>52</v>
      </c>
      <c r="D1103" s="2" t="s">
        <v>232</v>
      </c>
      <c r="E1103">
        <v>2010</v>
      </c>
      <c r="F1103" s="2" t="s">
        <v>6</v>
      </c>
      <c r="G1103">
        <v>1</v>
      </c>
      <c r="H1103" s="2" t="s">
        <v>13</v>
      </c>
      <c r="I1103">
        <v>1</v>
      </c>
      <c r="J1103" s="2" t="s">
        <v>17</v>
      </c>
      <c r="K1103">
        <v>1</v>
      </c>
      <c r="L1103" s="2" t="s">
        <v>19</v>
      </c>
      <c r="M1103">
        <v>1</v>
      </c>
      <c r="N1103" s="2" t="s">
        <v>31</v>
      </c>
      <c r="O1103">
        <v>1</v>
      </c>
    </row>
    <row r="1104" spans="1:15" x14ac:dyDescent="0.35">
      <c r="A1104" s="2" t="s">
        <v>58</v>
      </c>
      <c r="B1104" s="2" t="s">
        <v>49</v>
      </c>
      <c r="C1104" s="2" t="s">
        <v>52</v>
      </c>
      <c r="D1104" s="2" t="s">
        <v>232</v>
      </c>
      <c r="E1104">
        <v>2010</v>
      </c>
      <c r="F1104" s="2" t="s">
        <v>6</v>
      </c>
      <c r="G1104">
        <v>1</v>
      </c>
      <c r="H1104" s="2" t="s">
        <v>13</v>
      </c>
      <c r="I1104">
        <v>1</v>
      </c>
      <c r="J1104" s="2" t="s">
        <v>17</v>
      </c>
      <c r="K1104">
        <v>1</v>
      </c>
      <c r="L1104" s="2" t="s">
        <v>19</v>
      </c>
      <c r="M1104">
        <v>1</v>
      </c>
      <c r="N1104" s="2" t="s">
        <v>32</v>
      </c>
      <c r="O1104">
        <v>1</v>
      </c>
    </row>
    <row r="1105" spans="1:15" x14ac:dyDescent="0.35">
      <c r="A1105" s="2" t="s">
        <v>58</v>
      </c>
      <c r="B1105" s="2" t="s">
        <v>49</v>
      </c>
      <c r="C1105" s="2" t="s">
        <v>52</v>
      </c>
      <c r="D1105" s="2" t="s">
        <v>232</v>
      </c>
      <c r="E1105">
        <v>2010</v>
      </c>
      <c r="F1105" s="2" t="s">
        <v>6</v>
      </c>
      <c r="G1105">
        <v>1</v>
      </c>
      <c r="H1105" s="2" t="s">
        <v>13</v>
      </c>
      <c r="I1105">
        <v>1</v>
      </c>
      <c r="J1105" s="2" t="s">
        <v>17</v>
      </c>
      <c r="K1105">
        <v>1</v>
      </c>
      <c r="L1105" s="2" t="s">
        <v>19</v>
      </c>
      <c r="M1105">
        <v>1</v>
      </c>
      <c r="N1105" s="2" t="s">
        <v>37</v>
      </c>
      <c r="O1105">
        <v>1</v>
      </c>
    </row>
    <row r="1106" spans="1:15" x14ac:dyDescent="0.35">
      <c r="A1106" s="2" t="s">
        <v>58</v>
      </c>
      <c r="B1106" s="2" t="s">
        <v>49</v>
      </c>
      <c r="C1106" s="2" t="s">
        <v>52</v>
      </c>
      <c r="D1106" s="2" t="s">
        <v>232</v>
      </c>
      <c r="E1106">
        <v>2010</v>
      </c>
      <c r="F1106" s="2" t="s">
        <v>6</v>
      </c>
      <c r="G1106">
        <v>1</v>
      </c>
      <c r="H1106" s="2" t="s">
        <v>13</v>
      </c>
      <c r="I1106">
        <v>1</v>
      </c>
      <c r="J1106" s="2" t="s">
        <v>17</v>
      </c>
      <c r="K1106">
        <v>1</v>
      </c>
      <c r="L1106" s="2" t="s">
        <v>22</v>
      </c>
      <c r="M1106">
        <v>1</v>
      </c>
      <c r="N1106" s="2" t="s">
        <v>31</v>
      </c>
      <c r="O1106">
        <v>1</v>
      </c>
    </row>
    <row r="1107" spans="1:15" x14ac:dyDescent="0.35">
      <c r="A1107" s="2" t="s">
        <v>58</v>
      </c>
      <c r="B1107" s="2" t="s">
        <v>49</v>
      </c>
      <c r="C1107" s="2" t="s">
        <v>52</v>
      </c>
      <c r="D1107" s="2" t="s">
        <v>232</v>
      </c>
      <c r="E1107">
        <v>2010</v>
      </c>
      <c r="F1107" s="2" t="s">
        <v>6</v>
      </c>
      <c r="G1107">
        <v>1</v>
      </c>
      <c r="H1107" s="2" t="s">
        <v>13</v>
      </c>
      <c r="I1107">
        <v>1</v>
      </c>
      <c r="J1107" s="2" t="s">
        <v>17</v>
      </c>
      <c r="K1107">
        <v>1</v>
      </c>
      <c r="L1107" s="2" t="s">
        <v>22</v>
      </c>
      <c r="M1107">
        <v>1</v>
      </c>
      <c r="N1107" s="2" t="s">
        <v>32</v>
      </c>
      <c r="O1107">
        <v>1</v>
      </c>
    </row>
    <row r="1108" spans="1:15" x14ac:dyDescent="0.35">
      <c r="A1108" s="2" t="s">
        <v>58</v>
      </c>
      <c r="B1108" s="2" t="s">
        <v>49</v>
      </c>
      <c r="C1108" s="2" t="s">
        <v>52</v>
      </c>
      <c r="D1108" s="2" t="s">
        <v>232</v>
      </c>
      <c r="E1108">
        <v>2010</v>
      </c>
      <c r="F1108" s="2" t="s">
        <v>6</v>
      </c>
      <c r="G1108">
        <v>1</v>
      </c>
      <c r="H1108" s="2" t="s">
        <v>13</v>
      </c>
      <c r="I1108">
        <v>1</v>
      </c>
      <c r="J1108" s="2" t="s">
        <v>17</v>
      </c>
      <c r="K1108">
        <v>1</v>
      </c>
      <c r="L1108" s="2" t="s">
        <v>22</v>
      </c>
      <c r="M1108">
        <v>1</v>
      </c>
      <c r="N1108" s="2" t="s">
        <v>37</v>
      </c>
      <c r="O1108">
        <v>1</v>
      </c>
    </row>
    <row r="1109" spans="1:15" x14ac:dyDescent="0.35">
      <c r="A1109" s="2" t="s">
        <v>64</v>
      </c>
      <c r="B1109" s="2" t="s">
        <v>49</v>
      </c>
      <c r="C1109" s="2" t="s">
        <v>52</v>
      </c>
      <c r="D1109" s="2" t="s">
        <v>232</v>
      </c>
      <c r="E1109">
        <v>2020</v>
      </c>
      <c r="F1109" s="2" t="s">
        <v>6</v>
      </c>
      <c r="G1109">
        <v>1</v>
      </c>
      <c r="H1109" s="2" t="s">
        <v>13</v>
      </c>
      <c r="I1109">
        <v>1</v>
      </c>
      <c r="J1109" s="2" t="s">
        <v>16</v>
      </c>
      <c r="K1109">
        <v>1</v>
      </c>
      <c r="L1109" s="2" t="s">
        <v>23</v>
      </c>
      <c r="M1109">
        <v>1</v>
      </c>
      <c r="N1109" s="2" t="s">
        <v>52</v>
      </c>
      <c r="O1109">
        <v>1</v>
      </c>
    </row>
    <row r="1110" spans="1:15" x14ac:dyDescent="0.35">
      <c r="A1110" s="2" t="s">
        <v>64</v>
      </c>
      <c r="B1110" s="2" t="s">
        <v>49</v>
      </c>
      <c r="C1110" s="2" t="s">
        <v>52</v>
      </c>
      <c r="D1110" s="2" t="s">
        <v>232</v>
      </c>
      <c r="E1110">
        <v>2020</v>
      </c>
      <c r="F1110" s="2" t="s">
        <v>6</v>
      </c>
      <c r="G1110">
        <v>1</v>
      </c>
      <c r="H1110" s="2" t="s">
        <v>13</v>
      </c>
      <c r="I1110">
        <v>1</v>
      </c>
      <c r="J1110" s="2" t="s">
        <v>17</v>
      </c>
      <c r="K1110">
        <v>1</v>
      </c>
      <c r="L1110" s="2" t="s">
        <v>23</v>
      </c>
      <c r="M1110">
        <v>1</v>
      </c>
      <c r="N1110" s="2" t="s">
        <v>52</v>
      </c>
      <c r="O1110">
        <v>1</v>
      </c>
    </row>
    <row r="1111" spans="1:15" x14ac:dyDescent="0.35">
      <c r="A1111" s="2" t="s">
        <v>68</v>
      </c>
      <c r="B1111" s="2" t="s">
        <v>49</v>
      </c>
      <c r="C1111" s="2" t="s">
        <v>52</v>
      </c>
      <c r="D1111" s="2" t="s">
        <v>232</v>
      </c>
      <c r="E1111">
        <v>2014</v>
      </c>
      <c r="F1111" s="2" t="s">
        <v>6</v>
      </c>
      <c r="G1111">
        <v>1</v>
      </c>
      <c r="H1111" s="2" t="s">
        <v>13</v>
      </c>
      <c r="I1111">
        <v>1</v>
      </c>
      <c r="J1111" s="2" t="s">
        <v>17</v>
      </c>
      <c r="K1111">
        <v>1</v>
      </c>
      <c r="L1111" s="2" t="s">
        <v>22</v>
      </c>
      <c r="M1111">
        <v>1</v>
      </c>
      <c r="N1111" s="2" t="s">
        <v>37</v>
      </c>
      <c r="O1111">
        <v>1</v>
      </c>
    </row>
    <row r="1112" spans="1:15" x14ac:dyDescent="0.35">
      <c r="A1112" s="2" t="s">
        <v>68</v>
      </c>
      <c r="B1112" s="2" t="s">
        <v>49</v>
      </c>
      <c r="C1112" s="2" t="s">
        <v>52</v>
      </c>
      <c r="D1112" s="2" t="s">
        <v>232</v>
      </c>
      <c r="E1112">
        <v>2014</v>
      </c>
      <c r="F1112" s="2" t="s">
        <v>6</v>
      </c>
      <c r="G1112">
        <v>1</v>
      </c>
      <c r="H1112" s="2" t="s">
        <v>13</v>
      </c>
      <c r="I1112">
        <v>1</v>
      </c>
      <c r="J1112" s="2" t="s">
        <v>17</v>
      </c>
      <c r="K1112">
        <v>1</v>
      </c>
      <c r="L1112" s="2" t="s">
        <v>22</v>
      </c>
      <c r="M1112">
        <v>1</v>
      </c>
      <c r="N1112" s="2" t="s">
        <v>40</v>
      </c>
      <c r="O1112">
        <v>1</v>
      </c>
    </row>
    <row r="1113" spans="1:15" x14ac:dyDescent="0.35">
      <c r="A1113" s="2" t="s">
        <v>68</v>
      </c>
      <c r="B1113" s="2" t="s">
        <v>49</v>
      </c>
      <c r="C1113" s="2" t="s">
        <v>52</v>
      </c>
      <c r="D1113" s="2" t="s">
        <v>232</v>
      </c>
      <c r="E1113">
        <v>2014</v>
      </c>
      <c r="F1113" s="2" t="s">
        <v>6</v>
      </c>
      <c r="G1113">
        <v>1</v>
      </c>
      <c r="H1113" s="2" t="s">
        <v>13</v>
      </c>
      <c r="I1113">
        <v>1</v>
      </c>
      <c r="J1113" s="2" t="s">
        <v>17</v>
      </c>
      <c r="K1113">
        <v>1</v>
      </c>
      <c r="L1113" s="2" t="s">
        <v>22</v>
      </c>
      <c r="M1113">
        <v>1</v>
      </c>
      <c r="N1113" s="2" t="s">
        <v>46</v>
      </c>
      <c r="O1113">
        <v>1</v>
      </c>
    </row>
    <row r="1114" spans="1:15" x14ac:dyDescent="0.35">
      <c r="A1114" s="2" t="s">
        <v>72</v>
      </c>
      <c r="B1114" s="2" t="s">
        <v>49</v>
      </c>
      <c r="C1114" s="2" t="s">
        <v>52</v>
      </c>
      <c r="D1114" s="2" t="s">
        <v>232</v>
      </c>
      <c r="E1114">
        <v>2019</v>
      </c>
      <c r="F1114" s="2" t="s">
        <v>6</v>
      </c>
      <c r="G1114">
        <v>1</v>
      </c>
      <c r="H1114" s="2" t="s">
        <v>13</v>
      </c>
      <c r="I1114">
        <v>1</v>
      </c>
      <c r="J1114" s="2" t="s">
        <v>14</v>
      </c>
      <c r="K1114">
        <v>1</v>
      </c>
      <c r="L1114" s="2" t="s">
        <v>19</v>
      </c>
      <c r="M1114">
        <v>1</v>
      </c>
      <c r="N1114" s="2" t="s">
        <v>52</v>
      </c>
      <c r="O1114">
        <v>1</v>
      </c>
    </row>
    <row r="1115" spans="1:15" x14ac:dyDescent="0.35">
      <c r="A1115" s="2" t="s">
        <v>72</v>
      </c>
      <c r="B1115" s="2" t="s">
        <v>49</v>
      </c>
      <c r="C1115" s="2" t="s">
        <v>52</v>
      </c>
      <c r="D1115" s="2" t="s">
        <v>232</v>
      </c>
      <c r="E1115">
        <v>2019</v>
      </c>
      <c r="F1115" s="2" t="s">
        <v>6</v>
      </c>
      <c r="G1115">
        <v>1</v>
      </c>
      <c r="H1115" s="2" t="s">
        <v>13</v>
      </c>
      <c r="I1115">
        <v>1</v>
      </c>
      <c r="J1115" s="2" t="s">
        <v>14</v>
      </c>
      <c r="K1115">
        <v>1</v>
      </c>
      <c r="L1115" s="2" t="s">
        <v>21</v>
      </c>
      <c r="M1115">
        <v>1</v>
      </c>
      <c r="N1115" s="2" t="s">
        <v>52</v>
      </c>
      <c r="O1115">
        <v>1</v>
      </c>
    </row>
    <row r="1116" spans="1:15" x14ac:dyDescent="0.35">
      <c r="A1116" s="2" t="s">
        <v>72</v>
      </c>
      <c r="B1116" s="2" t="s">
        <v>49</v>
      </c>
      <c r="C1116" s="2" t="s">
        <v>52</v>
      </c>
      <c r="D1116" s="2" t="s">
        <v>232</v>
      </c>
      <c r="E1116">
        <v>2019</v>
      </c>
      <c r="F1116" s="2" t="s">
        <v>6</v>
      </c>
      <c r="G1116">
        <v>1</v>
      </c>
      <c r="H1116" s="2" t="s">
        <v>13</v>
      </c>
      <c r="I1116">
        <v>1</v>
      </c>
      <c r="J1116" s="2" t="s">
        <v>15</v>
      </c>
      <c r="K1116">
        <v>1</v>
      </c>
      <c r="L1116" s="2" t="s">
        <v>19</v>
      </c>
      <c r="M1116">
        <v>1</v>
      </c>
      <c r="N1116" s="2" t="s">
        <v>52</v>
      </c>
      <c r="O1116">
        <v>1</v>
      </c>
    </row>
    <row r="1117" spans="1:15" x14ac:dyDescent="0.35">
      <c r="A1117" s="2" t="s">
        <v>72</v>
      </c>
      <c r="B1117" s="2" t="s">
        <v>49</v>
      </c>
      <c r="C1117" s="2" t="s">
        <v>52</v>
      </c>
      <c r="D1117" s="2" t="s">
        <v>232</v>
      </c>
      <c r="E1117">
        <v>2019</v>
      </c>
      <c r="F1117" s="2" t="s">
        <v>6</v>
      </c>
      <c r="G1117">
        <v>1</v>
      </c>
      <c r="H1117" s="2" t="s">
        <v>13</v>
      </c>
      <c r="I1117">
        <v>1</v>
      </c>
      <c r="J1117" s="2" t="s">
        <v>15</v>
      </c>
      <c r="K1117">
        <v>1</v>
      </c>
      <c r="L1117" s="2" t="s">
        <v>21</v>
      </c>
      <c r="M1117">
        <v>1</v>
      </c>
      <c r="N1117" s="2" t="s">
        <v>52</v>
      </c>
      <c r="O1117">
        <v>1</v>
      </c>
    </row>
    <row r="1118" spans="1:15" x14ac:dyDescent="0.35">
      <c r="A1118" s="2" t="s">
        <v>72</v>
      </c>
      <c r="B1118" s="2" t="s">
        <v>49</v>
      </c>
      <c r="C1118" s="2" t="s">
        <v>52</v>
      </c>
      <c r="D1118" s="2" t="s">
        <v>232</v>
      </c>
      <c r="E1118">
        <v>2019</v>
      </c>
      <c r="F1118" s="2" t="s">
        <v>6</v>
      </c>
      <c r="G1118">
        <v>1</v>
      </c>
      <c r="H1118" s="2" t="s">
        <v>13</v>
      </c>
      <c r="I1118">
        <v>1</v>
      </c>
      <c r="J1118" s="2" t="s">
        <v>16</v>
      </c>
      <c r="K1118">
        <v>1</v>
      </c>
      <c r="L1118" s="2" t="s">
        <v>19</v>
      </c>
      <c r="M1118">
        <v>1</v>
      </c>
      <c r="N1118" s="2" t="s">
        <v>52</v>
      </c>
      <c r="O1118">
        <v>1</v>
      </c>
    </row>
    <row r="1119" spans="1:15" x14ac:dyDescent="0.35">
      <c r="A1119" s="2" t="s">
        <v>72</v>
      </c>
      <c r="B1119" s="2" t="s">
        <v>49</v>
      </c>
      <c r="C1119" s="2" t="s">
        <v>52</v>
      </c>
      <c r="D1119" s="2" t="s">
        <v>232</v>
      </c>
      <c r="E1119">
        <v>2019</v>
      </c>
      <c r="F1119" s="2" t="s">
        <v>6</v>
      </c>
      <c r="G1119">
        <v>1</v>
      </c>
      <c r="H1119" s="2" t="s">
        <v>13</v>
      </c>
      <c r="I1119">
        <v>1</v>
      </c>
      <c r="J1119" s="2" t="s">
        <v>16</v>
      </c>
      <c r="K1119">
        <v>1</v>
      </c>
      <c r="L1119" s="2" t="s">
        <v>21</v>
      </c>
      <c r="M1119">
        <v>1</v>
      </c>
      <c r="N1119" s="2" t="s">
        <v>52</v>
      </c>
      <c r="O1119">
        <v>1</v>
      </c>
    </row>
    <row r="1120" spans="1:15" x14ac:dyDescent="0.35">
      <c r="A1120" s="2" t="s">
        <v>72</v>
      </c>
      <c r="B1120" s="2" t="s">
        <v>49</v>
      </c>
      <c r="C1120" s="2" t="s">
        <v>52</v>
      </c>
      <c r="D1120" s="2" t="s">
        <v>232</v>
      </c>
      <c r="E1120">
        <v>2019</v>
      </c>
      <c r="F1120" s="2" t="s">
        <v>6</v>
      </c>
      <c r="G1120">
        <v>1</v>
      </c>
      <c r="H1120" s="2" t="s">
        <v>13</v>
      </c>
      <c r="I1120">
        <v>1</v>
      </c>
      <c r="J1120" s="2" t="s">
        <v>17</v>
      </c>
      <c r="K1120">
        <v>1</v>
      </c>
      <c r="L1120" s="2" t="s">
        <v>19</v>
      </c>
      <c r="M1120">
        <v>1</v>
      </c>
      <c r="N1120" s="2" t="s">
        <v>52</v>
      </c>
      <c r="O1120">
        <v>1</v>
      </c>
    </row>
    <row r="1121" spans="1:15" x14ac:dyDescent="0.35">
      <c r="A1121" s="2" t="s">
        <v>72</v>
      </c>
      <c r="B1121" s="2" t="s">
        <v>49</v>
      </c>
      <c r="C1121" s="2" t="s">
        <v>52</v>
      </c>
      <c r="D1121" s="2" t="s">
        <v>232</v>
      </c>
      <c r="E1121">
        <v>2019</v>
      </c>
      <c r="F1121" s="2" t="s">
        <v>6</v>
      </c>
      <c r="G1121">
        <v>1</v>
      </c>
      <c r="H1121" s="2" t="s">
        <v>13</v>
      </c>
      <c r="I1121">
        <v>1</v>
      </c>
      <c r="J1121" s="2" t="s">
        <v>17</v>
      </c>
      <c r="K1121">
        <v>1</v>
      </c>
      <c r="L1121" s="2" t="s">
        <v>21</v>
      </c>
      <c r="M1121">
        <v>1</v>
      </c>
      <c r="N1121" s="2" t="s">
        <v>52</v>
      </c>
      <c r="O1121">
        <v>1</v>
      </c>
    </row>
    <row r="1122" spans="1:15" x14ac:dyDescent="0.35">
      <c r="A1122" s="2" t="s">
        <v>116</v>
      </c>
      <c r="B1122" s="2" t="s">
        <v>49</v>
      </c>
      <c r="C1122" s="2" t="s">
        <v>52</v>
      </c>
      <c r="D1122" s="2" t="s">
        <v>232</v>
      </c>
      <c r="E1122">
        <v>2021</v>
      </c>
      <c r="F1122" s="2" t="s">
        <v>6</v>
      </c>
      <c r="G1122">
        <v>1</v>
      </c>
      <c r="H1122" s="2" t="s">
        <v>13</v>
      </c>
      <c r="I1122">
        <v>1</v>
      </c>
      <c r="J1122" s="2" t="s">
        <v>14</v>
      </c>
      <c r="K1122">
        <v>1</v>
      </c>
      <c r="L1122" s="2" t="s">
        <v>23</v>
      </c>
      <c r="M1122">
        <v>1</v>
      </c>
      <c r="N1122" s="2" t="s">
        <v>52</v>
      </c>
      <c r="O1122">
        <v>1</v>
      </c>
    </row>
    <row r="1123" spans="1:15" x14ac:dyDescent="0.35">
      <c r="A1123" s="2" t="s">
        <v>116</v>
      </c>
      <c r="B1123" s="2" t="s">
        <v>49</v>
      </c>
      <c r="C1123" s="2" t="s">
        <v>52</v>
      </c>
      <c r="D1123" s="2" t="s">
        <v>232</v>
      </c>
      <c r="E1123">
        <v>2021</v>
      </c>
      <c r="F1123" s="2" t="s">
        <v>6</v>
      </c>
      <c r="G1123">
        <v>1</v>
      </c>
      <c r="H1123" s="2" t="s">
        <v>13</v>
      </c>
      <c r="I1123">
        <v>1</v>
      </c>
      <c r="J1123" s="2" t="s">
        <v>15</v>
      </c>
      <c r="K1123">
        <v>1</v>
      </c>
      <c r="L1123" s="2" t="s">
        <v>23</v>
      </c>
      <c r="M1123">
        <v>1</v>
      </c>
      <c r="N1123" s="2" t="s">
        <v>52</v>
      </c>
      <c r="O1123">
        <v>1</v>
      </c>
    </row>
    <row r="1124" spans="1:15" x14ac:dyDescent="0.35">
      <c r="A1124" s="2" t="s">
        <v>116</v>
      </c>
      <c r="B1124" s="2" t="s">
        <v>49</v>
      </c>
      <c r="C1124" s="2" t="s">
        <v>52</v>
      </c>
      <c r="D1124" s="2" t="s">
        <v>232</v>
      </c>
      <c r="E1124">
        <v>2021</v>
      </c>
      <c r="F1124" s="2" t="s">
        <v>6</v>
      </c>
      <c r="G1124">
        <v>1</v>
      </c>
      <c r="H1124" s="2" t="s">
        <v>13</v>
      </c>
      <c r="I1124">
        <v>1</v>
      </c>
      <c r="J1124" s="2" t="s">
        <v>16</v>
      </c>
      <c r="K1124">
        <v>1</v>
      </c>
      <c r="L1124" s="2" t="s">
        <v>23</v>
      </c>
      <c r="M1124">
        <v>1</v>
      </c>
      <c r="N1124" s="2" t="s">
        <v>52</v>
      </c>
      <c r="O1124">
        <v>1</v>
      </c>
    </row>
    <row r="1125" spans="1:15" x14ac:dyDescent="0.35">
      <c r="A1125" s="2" t="s">
        <v>116</v>
      </c>
      <c r="B1125" s="2" t="s">
        <v>49</v>
      </c>
      <c r="C1125" s="2" t="s">
        <v>52</v>
      </c>
      <c r="D1125" s="2" t="s">
        <v>232</v>
      </c>
      <c r="E1125">
        <v>2021</v>
      </c>
      <c r="F1125" s="2" t="s">
        <v>6</v>
      </c>
      <c r="G1125">
        <v>1</v>
      </c>
      <c r="H1125" s="2" t="s">
        <v>13</v>
      </c>
      <c r="I1125">
        <v>1</v>
      </c>
      <c r="J1125" s="2" t="s">
        <v>17</v>
      </c>
      <c r="K1125">
        <v>1</v>
      </c>
      <c r="L1125" s="2" t="s">
        <v>23</v>
      </c>
      <c r="M1125">
        <v>1</v>
      </c>
      <c r="N1125" s="2" t="s">
        <v>52</v>
      </c>
      <c r="O1125">
        <v>1</v>
      </c>
    </row>
    <row r="1126" spans="1:15" x14ac:dyDescent="0.35">
      <c r="A1126" s="2" t="s">
        <v>117</v>
      </c>
      <c r="B1126" s="2" t="s">
        <v>49</v>
      </c>
      <c r="C1126" s="2" t="s">
        <v>52</v>
      </c>
      <c r="D1126" s="2" t="s">
        <v>232</v>
      </c>
      <c r="E1126">
        <v>2017</v>
      </c>
      <c r="F1126" s="2" t="s">
        <v>6</v>
      </c>
      <c r="G1126">
        <v>1</v>
      </c>
      <c r="H1126" s="2" t="s">
        <v>13</v>
      </c>
      <c r="I1126">
        <v>1</v>
      </c>
      <c r="J1126" s="2" t="s">
        <v>17</v>
      </c>
      <c r="K1126">
        <v>1</v>
      </c>
      <c r="L1126" s="2" t="s">
        <v>23</v>
      </c>
      <c r="M1126">
        <v>1</v>
      </c>
      <c r="N1126" s="2" t="s">
        <v>52</v>
      </c>
      <c r="O1126">
        <v>1</v>
      </c>
    </row>
    <row r="1127" spans="1:15" x14ac:dyDescent="0.35">
      <c r="A1127" s="2" t="s">
        <v>118</v>
      </c>
      <c r="B1127" s="2" t="s">
        <v>56</v>
      </c>
      <c r="C1127" s="2" t="s">
        <v>52</v>
      </c>
      <c r="D1127" s="2" t="s">
        <v>230</v>
      </c>
      <c r="E1127">
        <v>2020</v>
      </c>
      <c r="F1127" s="2" t="s">
        <v>6</v>
      </c>
      <c r="G1127">
        <v>1</v>
      </c>
      <c r="H1127" s="2" t="s">
        <v>13</v>
      </c>
      <c r="I1127">
        <v>1</v>
      </c>
      <c r="J1127" s="2" t="s">
        <v>14</v>
      </c>
      <c r="K1127">
        <v>1</v>
      </c>
      <c r="L1127" s="2" t="s">
        <v>19</v>
      </c>
      <c r="M1127">
        <v>1</v>
      </c>
      <c r="N1127" s="2" t="s">
        <v>27</v>
      </c>
      <c r="O1127">
        <v>1</v>
      </c>
    </row>
    <row r="1128" spans="1:15" x14ac:dyDescent="0.35">
      <c r="A1128" s="2" t="s">
        <v>118</v>
      </c>
      <c r="B1128" s="2" t="s">
        <v>56</v>
      </c>
      <c r="C1128" s="2" t="s">
        <v>52</v>
      </c>
      <c r="D1128" s="2" t="s">
        <v>230</v>
      </c>
      <c r="E1128">
        <v>2020</v>
      </c>
      <c r="F1128" s="2" t="s">
        <v>6</v>
      </c>
      <c r="G1128">
        <v>1</v>
      </c>
      <c r="H1128" s="2" t="s">
        <v>13</v>
      </c>
      <c r="I1128">
        <v>1</v>
      </c>
      <c r="J1128" s="2" t="s">
        <v>14</v>
      </c>
      <c r="K1128">
        <v>1</v>
      </c>
      <c r="L1128" s="2" t="s">
        <v>19</v>
      </c>
      <c r="M1128">
        <v>1</v>
      </c>
      <c r="N1128" s="2" t="s">
        <v>28</v>
      </c>
      <c r="O1128">
        <v>1</v>
      </c>
    </row>
    <row r="1129" spans="1:15" x14ac:dyDescent="0.35">
      <c r="A1129" s="2" t="s">
        <v>118</v>
      </c>
      <c r="B1129" s="2" t="s">
        <v>56</v>
      </c>
      <c r="C1129" s="2" t="s">
        <v>52</v>
      </c>
      <c r="D1129" s="2" t="s">
        <v>230</v>
      </c>
      <c r="E1129">
        <v>2020</v>
      </c>
      <c r="F1129" s="2" t="s">
        <v>6</v>
      </c>
      <c r="G1129">
        <v>1</v>
      </c>
      <c r="H1129" s="2" t="s">
        <v>13</v>
      </c>
      <c r="I1129">
        <v>1</v>
      </c>
      <c r="J1129" s="2" t="s">
        <v>14</v>
      </c>
      <c r="K1129">
        <v>1</v>
      </c>
      <c r="L1129" s="2" t="s">
        <v>22</v>
      </c>
      <c r="M1129">
        <v>1</v>
      </c>
      <c r="N1129" s="2" t="s">
        <v>27</v>
      </c>
      <c r="O1129">
        <v>1</v>
      </c>
    </row>
    <row r="1130" spans="1:15" x14ac:dyDescent="0.35">
      <c r="A1130" s="2" t="s">
        <v>118</v>
      </c>
      <c r="B1130" s="2" t="s">
        <v>56</v>
      </c>
      <c r="C1130" s="2" t="s">
        <v>52</v>
      </c>
      <c r="D1130" s="2" t="s">
        <v>230</v>
      </c>
      <c r="E1130">
        <v>2020</v>
      </c>
      <c r="F1130" s="2" t="s">
        <v>6</v>
      </c>
      <c r="G1130">
        <v>1</v>
      </c>
      <c r="H1130" s="2" t="s">
        <v>13</v>
      </c>
      <c r="I1130">
        <v>1</v>
      </c>
      <c r="J1130" s="2" t="s">
        <v>14</v>
      </c>
      <c r="K1130">
        <v>1</v>
      </c>
      <c r="L1130" s="2" t="s">
        <v>22</v>
      </c>
      <c r="M1130">
        <v>1</v>
      </c>
      <c r="N1130" s="2" t="s">
        <v>28</v>
      </c>
      <c r="O1130">
        <v>1</v>
      </c>
    </row>
    <row r="1131" spans="1:15" x14ac:dyDescent="0.35">
      <c r="A1131" s="2" t="s">
        <v>118</v>
      </c>
      <c r="B1131" s="2" t="s">
        <v>56</v>
      </c>
      <c r="C1131" s="2" t="s">
        <v>52</v>
      </c>
      <c r="D1131" s="2" t="s">
        <v>230</v>
      </c>
      <c r="E1131">
        <v>2020</v>
      </c>
      <c r="F1131" s="2" t="s">
        <v>6</v>
      </c>
      <c r="G1131">
        <v>1</v>
      </c>
      <c r="H1131" s="2" t="s">
        <v>13</v>
      </c>
      <c r="I1131">
        <v>1</v>
      </c>
      <c r="J1131" s="2" t="s">
        <v>16</v>
      </c>
      <c r="K1131">
        <v>1</v>
      </c>
      <c r="L1131" s="2" t="s">
        <v>19</v>
      </c>
      <c r="M1131">
        <v>1</v>
      </c>
      <c r="N1131" s="2" t="s">
        <v>27</v>
      </c>
      <c r="O1131">
        <v>1</v>
      </c>
    </row>
    <row r="1132" spans="1:15" x14ac:dyDescent="0.35">
      <c r="A1132" s="2" t="s">
        <v>118</v>
      </c>
      <c r="B1132" s="2" t="s">
        <v>56</v>
      </c>
      <c r="C1132" s="2" t="s">
        <v>52</v>
      </c>
      <c r="D1132" s="2" t="s">
        <v>230</v>
      </c>
      <c r="E1132">
        <v>2020</v>
      </c>
      <c r="F1132" s="2" t="s">
        <v>6</v>
      </c>
      <c r="G1132">
        <v>1</v>
      </c>
      <c r="H1132" s="2" t="s">
        <v>13</v>
      </c>
      <c r="I1132">
        <v>1</v>
      </c>
      <c r="J1132" s="2" t="s">
        <v>16</v>
      </c>
      <c r="K1132">
        <v>1</v>
      </c>
      <c r="L1132" s="2" t="s">
        <v>19</v>
      </c>
      <c r="M1132">
        <v>1</v>
      </c>
      <c r="N1132" s="2" t="s">
        <v>28</v>
      </c>
      <c r="O1132">
        <v>1</v>
      </c>
    </row>
    <row r="1133" spans="1:15" x14ac:dyDescent="0.35">
      <c r="A1133" s="2" t="s">
        <v>118</v>
      </c>
      <c r="B1133" s="2" t="s">
        <v>56</v>
      </c>
      <c r="C1133" s="2" t="s">
        <v>52</v>
      </c>
      <c r="D1133" s="2" t="s">
        <v>230</v>
      </c>
      <c r="E1133">
        <v>2020</v>
      </c>
      <c r="F1133" s="2" t="s">
        <v>6</v>
      </c>
      <c r="G1133">
        <v>1</v>
      </c>
      <c r="H1133" s="2" t="s">
        <v>13</v>
      </c>
      <c r="I1133">
        <v>1</v>
      </c>
      <c r="J1133" s="2" t="s">
        <v>16</v>
      </c>
      <c r="K1133">
        <v>1</v>
      </c>
      <c r="L1133" s="2" t="s">
        <v>22</v>
      </c>
      <c r="M1133">
        <v>1</v>
      </c>
      <c r="N1133" s="2" t="s">
        <v>27</v>
      </c>
      <c r="O1133">
        <v>1</v>
      </c>
    </row>
    <row r="1134" spans="1:15" x14ac:dyDescent="0.35">
      <c r="A1134" s="2" t="s">
        <v>118</v>
      </c>
      <c r="B1134" s="2" t="s">
        <v>56</v>
      </c>
      <c r="C1134" s="2" t="s">
        <v>52</v>
      </c>
      <c r="D1134" s="2" t="s">
        <v>230</v>
      </c>
      <c r="E1134">
        <v>2020</v>
      </c>
      <c r="F1134" s="2" t="s">
        <v>6</v>
      </c>
      <c r="G1134">
        <v>1</v>
      </c>
      <c r="H1134" s="2" t="s">
        <v>13</v>
      </c>
      <c r="I1134">
        <v>1</v>
      </c>
      <c r="J1134" s="2" t="s">
        <v>16</v>
      </c>
      <c r="K1134">
        <v>1</v>
      </c>
      <c r="L1134" s="2" t="s">
        <v>22</v>
      </c>
      <c r="M1134">
        <v>1</v>
      </c>
      <c r="N1134" s="2" t="s">
        <v>28</v>
      </c>
      <c r="O1134">
        <v>1</v>
      </c>
    </row>
    <row r="1135" spans="1:15" x14ac:dyDescent="0.35">
      <c r="A1135" s="2" t="s">
        <v>124</v>
      </c>
      <c r="B1135" s="2" t="s">
        <v>66</v>
      </c>
      <c r="C1135" s="2" t="s">
        <v>52</v>
      </c>
      <c r="D1135" s="2" t="s">
        <v>232</v>
      </c>
      <c r="E1135">
        <v>2021</v>
      </c>
      <c r="F1135" s="2" t="s">
        <v>6</v>
      </c>
      <c r="G1135">
        <v>1</v>
      </c>
      <c r="H1135" s="2" t="s">
        <v>13</v>
      </c>
      <c r="I1135">
        <v>1</v>
      </c>
      <c r="J1135" s="2" t="s">
        <v>14</v>
      </c>
      <c r="K1135">
        <v>1</v>
      </c>
      <c r="L1135" s="2" t="s">
        <v>21</v>
      </c>
      <c r="M1135">
        <v>1</v>
      </c>
      <c r="N1135" s="2" t="s">
        <v>52</v>
      </c>
      <c r="O1135">
        <v>1</v>
      </c>
    </row>
    <row r="1136" spans="1:15" x14ac:dyDescent="0.35">
      <c r="A1136" s="2" t="s">
        <v>124</v>
      </c>
      <c r="B1136" s="2" t="s">
        <v>66</v>
      </c>
      <c r="C1136" s="2" t="s">
        <v>52</v>
      </c>
      <c r="D1136" s="2" t="s">
        <v>232</v>
      </c>
      <c r="E1136">
        <v>2021</v>
      </c>
      <c r="F1136" s="2" t="s">
        <v>6</v>
      </c>
      <c r="G1136">
        <v>1</v>
      </c>
      <c r="H1136" s="2" t="s">
        <v>13</v>
      </c>
      <c r="I1136">
        <v>1</v>
      </c>
      <c r="J1136" s="2" t="s">
        <v>15</v>
      </c>
      <c r="K1136">
        <v>1</v>
      </c>
      <c r="L1136" s="2" t="s">
        <v>21</v>
      </c>
      <c r="M1136">
        <v>1</v>
      </c>
      <c r="N1136" s="2" t="s">
        <v>52</v>
      </c>
      <c r="O1136">
        <v>1</v>
      </c>
    </row>
    <row r="1137" spans="1:15" x14ac:dyDescent="0.35">
      <c r="A1137" s="2" t="s">
        <v>124</v>
      </c>
      <c r="B1137" s="2" t="s">
        <v>66</v>
      </c>
      <c r="C1137" s="2" t="s">
        <v>52</v>
      </c>
      <c r="D1137" s="2" t="s">
        <v>232</v>
      </c>
      <c r="E1137">
        <v>2021</v>
      </c>
      <c r="F1137" s="2" t="s">
        <v>6</v>
      </c>
      <c r="G1137">
        <v>1</v>
      </c>
      <c r="H1137" s="2" t="s">
        <v>13</v>
      </c>
      <c r="I1137">
        <v>1</v>
      </c>
      <c r="J1137" s="2" t="s">
        <v>17</v>
      </c>
      <c r="K1137">
        <v>1</v>
      </c>
      <c r="L1137" s="2" t="s">
        <v>21</v>
      </c>
      <c r="M1137">
        <v>1</v>
      </c>
      <c r="N1137" s="2" t="s">
        <v>52</v>
      </c>
      <c r="O1137">
        <v>1</v>
      </c>
    </row>
    <row r="1138" spans="1:15" x14ac:dyDescent="0.35">
      <c r="A1138" s="2" t="s">
        <v>137</v>
      </c>
      <c r="B1138" s="2" t="s">
        <v>49</v>
      </c>
      <c r="C1138" s="2" t="s">
        <v>52</v>
      </c>
      <c r="D1138" s="2" t="s">
        <v>232</v>
      </c>
      <c r="E1138">
        <v>2019</v>
      </c>
      <c r="F1138" s="2" t="s">
        <v>6</v>
      </c>
      <c r="G1138">
        <v>1</v>
      </c>
      <c r="H1138" s="2" t="s">
        <v>13</v>
      </c>
      <c r="I1138">
        <v>1</v>
      </c>
      <c r="J1138" s="2" t="s">
        <v>14</v>
      </c>
      <c r="K1138">
        <v>1</v>
      </c>
      <c r="L1138" s="2" t="s">
        <v>22</v>
      </c>
      <c r="M1138">
        <v>1</v>
      </c>
      <c r="N1138" s="2" t="s">
        <v>52</v>
      </c>
      <c r="O1138">
        <v>1</v>
      </c>
    </row>
    <row r="1139" spans="1:15" x14ac:dyDescent="0.35">
      <c r="A1139" s="2" t="s">
        <v>137</v>
      </c>
      <c r="B1139" s="2" t="s">
        <v>49</v>
      </c>
      <c r="C1139" s="2" t="s">
        <v>52</v>
      </c>
      <c r="D1139" s="2" t="s">
        <v>232</v>
      </c>
      <c r="E1139">
        <v>2019</v>
      </c>
      <c r="F1139" s="2" t="s">
        <v>6</v>
      </c>
      <c r="G1139">
        <v>1</v>
      </c>
      <c r="H1139" s="2" t="s">
        <v>13</v>
      </c>
      <c r="I1139">
        <v>1</v>
      </c>
      <c r="J1139" s="2" t="s">
        <v>14</v>
      </c>
      <c r="K1139">
        <v>1</v>
      </c>
      <c r="L1139" s="2" t="s">
        <v>23</v>
      </c>
      <c r="M1139">
        <v>1</v>
      </c>
      <c r="N1139" s="2" t="s">
        <v>52</v>
      </c>
      <c r="O1139">
        <v>1</v>
      </c>
    </row>
    <row r="1140" spans="1:15" x14ac:dyDescent="0.35">
      <c r="A1140" s="2" t="s">
        <v>137</v>
      </c>
      <c r="B1140" s="2" t="s">
        <v>49</v>
      </c>
      <c r="C1140" s="2" t="s">
        <v>52</v>
      </c>
      <c r="D1140" s="2" t="s">
        <v>232</v>
      </c>
      <c r="E1140">
        <v>2019</v>
      </c>
      <c r="F1140" s="2" t="s">
        <v>6</v>
      </c>
      <c r="G1140">
        <v>1</v>
      </c>
      <c r="H1140" s="2" t="s">
        <v>13</v>
      </c>
      <c r="I1140">
        <v>1</v>
      </c>
      <c r="J1140" s="2" t="s">
        <v>16</v>
      </c>
      <c r="K1140">
        <v>1</v>
      </c>
      <c r="L1140" s="2" t="s">
        <v>22</v>
      </c>
      <c r="M1140">
        <v>1</v>
      </c>
      <c r="N1140" s="2" t="s">
        <v>52</v>
      </c>
      <c r="O1140">
        <v>1</v>
      </c>
    </row>
    <row r="1141" spans="1:15" x14ac:dyDescent="0.35">
      <c r="A1141" s="2" t="s">
        <v>137</v>
      </c>
      <c r="B1141" s="2" t="s">
        <v>49</v>
      </c>
      <c r="C1141" s="2" t="s">
        <v>52</v>
      </c>
      <c r="D1141" s="2" t="s">
        <v>232</v>
      </c>
      <c r="E1141">
        <v>2019</v>
      </c>
      <c r="F1141" s="2" t="s">
        <v>6</v>
      </c>
      <c r="G1141">
        <v>1</v>
      </c>
      <c r="H1141" s="2" t="s">
        <v>13</v>
      </c>
      <c r="I1141">
        <v>1</v>
      </c>
      <c r="J1141" s="2" t="s">
        <v>16</v>
      </c>
      <c r="K1141">
        <v>1</v>
      </c>
      <c r="L1141" s="2" t="s">
        <v>23</v>
      </c>
      <c r="M1141">
        <v>1</v>
      </c>
      <c r="N1141" s="2" t="s">
        <v>52</v>
      </c>
      <c r="O1141">
        <v>1</v>
      </c>
    </row>
    <row r="1142" spans="1:15" x14ac:dyDescent="0.35">
      <c r="A1142" s="2" t="s">
        <v>154</v>
      </c>
      <c r="B1142" s="2" t="s">
        <v>49</v>
      </c>
      <c r="C1142" s="2" t="s">
        <v>52</v>
      </c>
      <c r="D1142" s="2" t="s">
        <v>232</v>
      </c>
      <c r="E1142">
        <v>2018</v>
      </c>
      <c r="F1142" s="2" t="s">
        <v>6</v>
      </c>
      <c r="G1142">
        <v>1</v>
      </c>
      <c r="H1142" s="2" t="s">
        <v>13</v>
      </c>
      <c r="I1142">
        <v>1</v>
      </c>
      <c r="J1142" s="2" t="s">
        <v>14</v>
      </c>
      <c r="K1142">
        <v>1</v>
      </c>
      <c r="L1142" s="2" t="s">
        <v>24</v>
      </c>
      <c r="M1142">
        <v>1</v>
      </c>
      <c r="N1142" s="2" t="s">
        <v>52</v>
      </c>
      <c r="O1142">
        <v>1</v>
      </c>
    </row>
    <row r="1143" spans="1:15" x14ac:dyDescent="0.35">
      <c r="A1143" s="2" t="s">
        <v>154</v>
      </c>
      <c r="B1143" s="2" t="s">
        <v>49</v>
      </c>
      <c r="C1143" s="2" t="s">
        <v>52</v>
      </c>
      <c r="D1143" s="2" t="s">
        <v>232</v>
      </c>
      <c r="E1143">
        <v>2018</v>
      </c>
      <c r="F1143" s="2" t="s">
        <v>6</v>
      </c>
      <c r="G1143">
        <v>1</v>
      </c>
      <c r="H1143" s="2" t="s">
        <v>13</v>
      </c>
      <c r="I1143">
        <v>1</v>
      </c>
      <c r="J1143" s="2" t="s">
        <v>16</v>
      </c>
      <c r="K1143">
        <v>1</v>
      </c>
      <c r="L1143" s="2" t="s">
        <v>24</v>
      </c>
      <c r="M1143">
        <v>1</v>
      </c>
      <c r="N1143" s="2" t="s">
        <v>52</v>
      </c>
      <c r="O1143">
        <v>1</v>
      </c>
    </row>
    <row r="1144" spans="1:15" x14ac:dyDescent="0.35">
      <c r="A1144" s="2" t="s">
        <v>164</v>
      </c>
      <c r="B1144" s="2" t="s">
        <v>49</v>
      </c>
      <c r="C1144" s="2" t="s">
        <v>52</v>
      </c>
      <c r="D1144" s="2" t="s">
        <v>231</v>
      </c>
      <c r="E1144">
        <v>2020</v>
      </c>
      <c r="F1144" s="2" t="s">
        <v>6</v>
      </c>
      <c r="G1144">
        <v>1</v>
      </c>
      <c r="H1144" s="2" t="s">
        <v>13</v>
      </c>
      <c r="I1144">
        <v>1</v>
      </c>
      <c r="J1144" s="2" t="s">
        <v>14</v>
      </c>
      <c r="K1144">
        <v>1</v>
      </c>
      <c r="L1144" s="2" t="s">
        <v>22</v>
      </c>
      <c r="M1144">
        <v>1</v>
      </c>
      <c r="N1144" s="2" t="s">
        <v>37</v>
      </c>
      <c r="O1144">
        <v>1</v>
      </c>
    </row>
    <row r="1145" spans="1:15" x14ac:dyDescent="0.35">
      <c r="A1145" s="2" t="s">
        <v>164</v>
      </c>
      <c r="B1145" s="2" t="s">
        <v>49</v>
      </c>
      <c r="C1145" s="2" t="s">
        <v>52</v>
      </c>
      <c r="D1145" s="2" t="s">
        <v>231</v>
      </c>
      <c r="E1145">
        <v>2020</v>
      </c>
      <c r="F1145" s="2" t="s">
        <v>6</v>
      </c>
      <c r="G1145">
        <v>1</v>
      </c>
      <c r="H1145" s="2" t="s">
        <v>13</v>
      </c>
      <c r="I1145">
        <v>1</v>
      </c>
      <c r="J1145" s="2" t="s">
        <v>14</v>
      </c>
      <c r="K1145">
        <v>1</v>
      </c>
      <c r="L1145" s="2" t="s">
        <v>22</v>
      </c>
      <c r="M1145">
        <v>1</v>
      </c>
      <c r="N1145" s="2" t="s">
        <v>38</v>
      </c>
      <c r="O1145">
        <v>1</v>
      </c>
    </row>
    <row r="1146" spans="1:15" x14ac:dyDescent="0.35">
      <c r="A1146" s="2" t="s">
        <v>164</v>
      </c>
      <c r="B1146" s="2" t="s">
        <v>49</v>
      </c>
      <c r="C1146" s="2" t="s">
        <v>52</v>
      </c>
      <c r="D1146" s="2" t="s">
        <v>231</v>
      </c>
      <c r="E1146">
        <v>2020</v>
      </c>
      <c r="F1146" s="2" t="s">
        <v>6</v>
      </c>
      <c r="G1146">
        <v>1</v>
      </c>
      <c r="H1146" s="2" t="s">
        <v>13</v>
      </c>
      <c r="I1146">
        <v>1</v>
      </c>
      <c r="J1146" s="2" t="s">
        <v>14</v>
      </c>
      <c r="K1146">
        <v>1</v>
      </c>
      <c r="L1146" s="2" t="s">
        <v>22</v>
      </c>
      <c r="M1146">
        <v>1</v>
      </c>
      <c r="N1146" s="2" t="s">
        <v>44</v>
      </c>
      <c r="O1146">
        <v>1</v>
      </c>
    </row>
    <row r="1147" spans="1:15" x14ac:dyDescent="0.35">
      <c r="A1147" s="2" t="s">
        <v>164</v>
      </c>
      <c r="B1147" s="2" t="s">
        <v>49</v>
      </c>
      <c r="C1147" s="2" t="s">
        <v>52</v>
      </c>
      <c r="D1147" s="2" t="s">
        <v>231</v>
      </c>
      <c r="E1147">
        <v>2020</v>
      </c>
      <c r="F1147" s="2" t="s">
        <v>6</v>
      </c>
      <c r="G1147">
        <v>1</v>
      </c>
      <c r="H1147" s="2" t="s">
        <v>13</v>
      </c>
      <c r="I1147">
        <v>1</v>
      </c>
      <c r="J1147" s="2" t="s">
        <v>14</v>
      </c>
      <c r="K1147">
        <v>1</v>
      </c>
      <c r="L1147" s="2" t="s">
        <v>24</v>
      </c>
      <c r="M1147">
        <v>1</v>
      </c>
      <c r="N1147" s="2" t="s">
        <v>37</v>
      </c>
      <c r="O1147">
        <v>1</v>
      </c>
    </row>
    <row r="1148" spans="1:15" x14ac:dyDescent="0.35">
      <c r="A1148" s="2" t="s">
        <v>164</v>
      </c>
      <c r="B1148" s="2" t="s">
        <v>49</v>
      </c>
      <c r="C1148" s="2" t="s">
        <v>52</v>
      </c>
      <c r="D1148" s="2" t="s">
        <v>231</v>
      </c>
      <c r="E1148">
        <v>2020</v>
      </c>
      <c r="F1148" s="2" t="s">
        <v>6</v>
      </c>
      <c r="G1148">
        <v>1</v>
      </c>
      <c r="H1148" s="2" t="s">
        <v>13</v>
      </c>
      <c r="I1148">
        <v>1</v>
      </c>
      <c r="J1148" s="2" t="s">
        <v>14</v>
      </c>
      <c r="K1148">
        <v>1</v>
      </c>
      <c r="L1148" s="2" t="s">
        <v>24</v>
      </c>
      <c r="M1148">
        <v>1</v>
      </c>
      <c r="N1148" s="2" t="s">
        <v>38</v>
      </c>
      <c r="O1148">
        <v>1</v>
      </c>
    </row>
    <row r="1149" spans="1:15" x14ac:dyDescent="0.35">
      <c r="A1149" s="2" t="s">
        <v>164</v>
      </c>
      <c r="B1149" s="2" t="s">
        <v>49</v>
      </c>
      <c r="C1149" s="2" t="s">
        <v>52</v>
      </c>
      <c r="D1149" s="2" t="s">
        <v>231</v>
      </c>
      <c r="E1149">
        <v>2020</v>
      </c>
      <c r="F1149" s="2" t="s">
        <v>6</v>
      </c>
      <c r="G1149">
        <v>1</v>
      </c>
      <c r="H1149" s="2" t="s">
        <v>13</v>
      </c>
      <c r="I1149">
        <v>1</v>
      </c>
      <c r="J1149" s="2" t="s">
        <v>14</v>
      </c>
      <c r="K1149">
        <v>1</v>
      </c>
      <c r="L1149" s="2" t="s">
        <v>24</v>
      </c>
      <c r="M1149">
        <v>1</v>
      </c>
      <c r="N1149" s="2" t="s">
        <v>44</v>
      </c>
      <c r="O1149">
        <v>1</v>
      </c>
    </row>
    <row r="1150" spans="1:15" x14ac:dyDescent="0.35">
      <c r="A1150" s="2" t="s">
        <v>164</v>
      </c>
      <c r="B1150" s="2" t="s">
        <v>49</v>
      </c>
      <c r="C1150" s="2" t="s">
        <v>52</v>
      </c>
      <c r="D1150" s="2" t="s">
        <v>231</v>
      </c>
      <c r="E1150">
        <v>2020</v>
      </c>
      <c r="F1150" s="2" t="s">
        <v>6</v>
      </c>
      <c r="G1150">
        <v>1</v>
      </c>
      <c r="H1150" s="2" t="s">
        <v>13</v>
      </c>
      <c r="I1150">
        <v>1</v>
      </c>
      <c r="J1150" s="2" t="s">
        <v>15</v>
      </c>
      <c r="K1150">
        <v>1</v>
      </c>
      <c r="L1150" s="2" t="s">
        <v>22</v>
      </c>
      <c r="M1150">
        <v>1</v>
      </c>
      <c r="N1150" s="2" t="s">
        <v>37</v>
      </c>
      <c r="O1150">
        <v>1</v>
      </c>
    </row>
    <row r="1151" spans="1:15" x14ac:dyDescent="0.35">
      <c r="A1151" s="2" t="s">
        <v>164</v>
      </c>
      <c r="B1151" s="2" t="s">
        <v>49</v>
      </c>
      <c r="C1151" s="2" t="s">
        <v>52</v>
      </c>
      <c r="D1151" s="2" t="s">
        <v>231</v>
      </c>
      <c r="E1151">
        <v>2020</v>
      </c>
      <c r="F1151" s="2" t="s">
        <v>6</v>
      </c>
      <c r="G1151">
        <v>1</v>
      </c>
      <c r="H1151" s="2" t="s">
        <v>13</v>
      </c>
      <c r="I1151">
        <v>1</v>
      </c>
      <c r="J1151" s="2" t="s">
        <v>15</v>
      </c>
      <c r="K1151">
        <v>1</v>
      </c>
      <c r="L1151" s="2" t="s">
        <v>22</v>
      </c>
      <c r="M1151">
        <v>1</v>
      </c>
      <c r="N1151" s="2" t="s">
        <v>38</v>
      </c>
      <c r="O1151">
        <v>1</v>
      </c>
    </row>
    <row r="1152" spans="1:15" x14ac:dyDescent="0.35">
      <c r="A1152" s="2" t="s">
        <v>164</v>
      </c>
      <c r="B1152" s="2" t="s">
        <v>49</v>
      </c>
      <c r="C1152" s="2" t="s">
        <v>52</v>
      </c>
      <c r="D1152" s="2" t="s">
        <v>231</v>
      </c>
      <c r="E1152">
        <v>2020</v>
      </c>
      <c r="F1152" s="2" t="s">
        <v>6</v>
      </c>
      <c r="G1152">
        <v>1</v>
      </c>
      <c r="H1152" s="2" t="s">
        <v>13</v>
      </c>
      <c r="I1152">
        <v>1</v>
      </c>
      <c r="J1152" s="2" t="s">
        <v>15</v>
      </c>
      <c r="K1152">
        <v>1</v>
      </c>
      <c r="L1152" s="2" t="s">
        <v>22</v>
      </c>
      <c r="M1152">
        <v>1</v>
      </c>
      <c r="N1152" s="2" t="s">
        <v>44</v>
      </c>
      <c r="O1152">
        <v>1</v>
      </c>
    </row>
    <row r="1153" spans="1:15" x14ac:dyDescent="0.35">
      <c r="A1153" s="2" t="s">
        <v>164</v>
      </c>
      <c r="B1153" s="2" t="s">
        <v>49</v>
      </c>
      <c r="C1153" s="2" t="s">
        <v>52</v>
      </c>
      <c r="D1153" s="2" t="s">
        <v>231</v>
      </c>
      <c r="E1153">
        <v>2020</v>
      </c>
      <c r="F1153" s="2" t="s">
        <v>6</v>
      </c>
      <c r="G1153">
        <v>1</v>
      </c>
      <c r="H1153" s="2" t="s">
        <v>13</v>
      </c>
      <c r="I1153">
        <v>1</v>
      </c>
      <c r="J1153" s="2" t="s">
        <v>15</v>
      </c>
      <c r="K1153">
        <v>1</v>
      </c>
      <c r="L1153" s="2" t="s">
        <v>24</v>
      </c>
      <c r="M1153">
        <v>1</v>
      </c>
      <c r="N1153" s="2" t="s">
        <v>37</v>
      </c>
      <c r="O1153">
        <v>1</v>
      </c>
    </row>
    <row r="1154" spans="1:15" x14ac:dyDescent="0.35">
      <c r="A1154" s="2" t="s">
        <v>164</v>
      </c>
      <c r="B1154" s="2" t="s">
        <v>49</v>
      </c>
      <c r="C1154" s="2" t="s">
        <v>52</v>
      </c>
      <c r="D1154" s="2" t="s">
        <v>231</v>
      </c>
      <c r="E1154">
        <v>2020</v>
      </c>
      <c r="F1154" s="2" t="s">
        <v>6</v>
      </c>
      <c r="G1154">
        <v>1</v>
      </c>
      <c r="H1154" s="2" t="s">
        <v>13</v>
      </c>
      <c r="I1154">
        <v>1</v>
      </c>
      <c r="J1154" s="2" t="s">
        <v>15</v>
      </c>
      <c r="K1154">
        <v>1</v>
      </c>
      <c r="L1154" s="2" t="s">
        <v>24</v>
      </c>
      <c r="M1154">
        <v>1</v>
      </c>
      <c r="N1154" s="2" t="s">
        <v>38</v>
      </c>
      <c r="O1154">
        <v>1</v>
      </c>
    </row>
    <row r="1155" spans="1:15" x14ac:dyDescent="0.35">
      <c r="A1155" s="2" t="s">
        <v>164</v>
      </c>
      <c r="B1155" s="2" t="s">
        <v>49</v>
      </c>
      <c r="C1155" s="2" t="s">
        <v>52</v>
      </c>
      <c r="D1155" s="2" t="s">
        <v>231</v>
      </c>
      <c r="E1155">
        <v>2020</v>
      </c>
      <c r="F1155" s="2" t="s">
        <v>6</v>
      </c>
      <c r="G1155">
        <v>1</v>
      </c>
      <c r="H1155" s="2" t="s">
        <v>13</v>
      </c>
      <c r="I1155">
        <v>1</v>
      </c>
      <c r="J1155" s="2" t="s">
        <v>15</v>
      </c>
      <c r="K1155">
        <v>1</v>
      </c>
      <c r="L1155" s="2" t="s">
        <v>24</v>
      </c>
      <c r="M1155">
        <v>1</v>
      </c>
      <c r="N1155" s="2" t="s">
        <v>44</v>
      </c>
      <c r="O1155">
        <v>1</v>
      </c>
    </row>
    <row r="1156" spans="1:15" x14ac:dyDescent="0.35">
      <c r="A1156" s="2" t="s">
        <v>171</v>
      </c>
      <c r="B1156" s="2" t="s">
        <v>56</v>
      </c>
      <c r="C1156" s="2" t="s">
        <v>238</v>
      </c>
      <c r="D1156" s="2" t="s">
        <v>231</v>
      </c>
      <c r="E1156">
        <v>2017</v>
      </c>
      <c r="F1156" s="2" t="s">
        <v>6</v>
      </c>
      <c r="G1156">
        <v>1</v>
      </c>
      <c r="H1156" s="2" t="s">
        <v>13</v>
      </c>
      <c r="I1156">
        <v>1</v>
      </c>
      <c r="J1156" s="2" t="s">
        <v>16</v>
      </c>
      <c r="K1156">
        <v>1</v>
      </c>
      <c r="L1156" s="2" t="s">
        <v>22</v>
      </c>
      <c r="M1156">
        <v>1</v>
      </c>
      <c r="N1156" s="2" t="s">
        <v>37</v>
      </c>
      <c r="O1156">
        <v>1</v>
      </c>
    </row>
    <row r="1157" spans="1:15" x14ac:dyDescent="0.35">
      <c r="A1157" s="2" t="s">
        <v>171</v>
      </c>
      <c r="B1157" s="2" t="s">
        <v>56</v>
      </c>
      <c r="C1157" s="2" t="s">
        <v>238</v>
      </c>
      <c r="D1157" s="2" t="s">
        <v>231</v>
      </c>
      <c r="E1157">
        <v>2017</v>
      </c>
      <c r="F1157" s="2" t="s">
        <v>6</v>
      </c>
      <c r="G1157">
        <v>1</v>
      </c>
      <c r="H1157" s="2" t="s">
        <v>13</v>
      </c>
      <c r="I1157">
        <v>1</v>
      </c>
      <c r="J1157" s="2" t="s">
        <v>16</v>
      </c>
      <c r="K1157">
        <v>1</v>
      </c>
      <c r="L1157" s="2" t="s">
        <v>22</v>
      </c>
      <c r="M1157">
        <v>1</v>
      </c>
      <c r="N1157" s="2" t="s">
        <v>38</v>
      </c>
      <c r="O1157">
        <v>1</v>
      </c>
    </row>
    <row r="1158" spans="1:15" x14ac:dyDescent="0.35">
      <c r="A1158" s="2" t="s">
        <v>171</v>
      </c>
      <c r="B1158" s="2" t="s">
        <v>56</v>
      </c>
      <c r="C1158" s="2" t="s">
        <v>238</v>
      </c>
      <c r="D1158" s="2" t="s">
        <v>231</v>
      </c>
      <c r="E1158">
        <v>2017</v>
      </c>
      <c r="F1158" s="2" t="s">
        <v>6</v>
      </c>
      <c r="G1158">
        <v>1</v>
      </c>
      <c r="H1158" s="2" t="s">
        <v>13</v>
      </c>
      <c r="I1158">
        <v>1</v>
      </c>
      <c r="J1158" s="2" t="s">
        <v>16</v>
      </c>
      <c r="K1158">
        <v>1</v>
      </c>
      <c r="L1158" s="2" t="s">
        <v>24</v>
      </c>
      <c r="M1158">
        <v>1</v>
      </c>
      <c r="N1158" s="2" t="s">
        <v>37</v>
      </c>
      <c r="O1158">
        <v>1</v>
      </c>
    </row>
    <row r="1159" spans="1:15" x14ac:dyDescent="0.35">
      <c r="A1159" s="2" t="s">
        <v>171</v>
      </c>
      <c r="B1159" s="2" t="s">
        <v>56</v>
      </c>
      <c r="C1159" s="2" t="s">
        <v>238</v>
      </c>
      <c r="D1159" s="2" t="s">
        <v>231</v>
      </c>
      <c r="E1159">
        <v>2017</v>
      </c>
      <c r="F1159" s="2" t="s">
        <v>6</v>
      </c>
      <c r="G1159">
        <v>1</v>
      </c>
      <c r="H1159" s="2" t="s">
        <v>13</v>
      </c>
      <c r="I1159">
        <v>1</v>
      </c>
      <c r="J1159" s="2" t="s">
        <v>16</v>
      </c>
      <c r="K1159">
        <v>1</v>
      </c>
      <c r="L1159" s="2" t="s">
        <v>24</v>
      </c>
      <c r="M1159">
        <v>1</v>
      </c>
      <c r="N1159" s="2" t="s">
        <v>38</v>
      </c>
      <c r="O1159">
        <v>1</v>
      </c>
    </row>
    <row r="1160" spans="1:15" x14ac:dyDescent="0.35">
      <c r="A1160" s="2" t="s">
        <v>171</v>
      </c>
      <c r="B1160" s="2" t="s">
        <v>56</v>
      </c>
      <c r="C1160" s="2" t="s">
        <v>238</v>
      </c>
      <c r="D1160" s="2" t="s">
        <v>231</v>
      </c>
      <c r="E1160">
        <v>2017</v>
      </c>
      <c r="F1160" s="2" t="s">
        <v>6</v>
      </c>
      <c r="G1160">
        <v>1</v>
      </c>
      <c r="H1160" s="2" t="s">
        <v>13</v>
      </c>
      <c r="I1160">
        <v>1</v>
      </c>
      <c r="J1160" s="2" t="s">
        <v>17</v>
      </c>
      <c r="K1160">
        <v>1</v>
      </c>
      <c r="L1160" s="2" t="s">
        <v>22</v>
      </c>
      <c r="M1160">
        <v>1</v>
      </c>
      <c r="N1160" s="2" t="s">
        <v>37</v>
      </c>
      <c r="O1160">
        <v>1</v>
      </c>
    </row>
    <row r="1161" spans="1:15" x14ac:dyDescent="0.35">
      <c r="A1161" s="2" t="s">
        <v>171</v>
      </c>
      <c r="B1161" s="2" t="s">
        <v>56</v>
      </c>
      <c r="C1161" s="2" t="s">
        <v>238</v>
      </c>
      <c r="D1161" s="2" t="s">
        <v>231</v>
      </c>
      <c r="E1161">
        <v>2017</v>
      </c>
      <c r="F1161" s="2" t="s">
        <v>6</v>
      </c>
      <c r="G1161">
        <v>1</v>
      </c>
      <c r="H1161" s="2" t="s">
        <v>13</v>
      </c>
      <c r="I1161">
        <v>1</v>
      </c>
      <c r="J1161" s="2" t="s">
        <v>17</v>
      </c>
      <c r="K1161">
        <v>1</v>
      </c>
      <c r="L1161" s="2" t="s">
        <v>22</v>
      </c>
      <c r="M1161">
        <v>1</v>
      </c>
      <c r="N1161" s="2" t="s">
        <v>38</v>
      </c>
      <c r="O1161">
        <v>1</v>
      </c>
    </row>
    <row r="1162" spans="1:15" x14ac:dyDescent="0.35">
      <c r="A1162" s="2" t="s">
        <v>171</v>
      </c>
      <c r="B1162" s="2" t="s">
        <v>56</v>
      </c>
      <c r="C1162" s="2" t="s">
        <v>238</v>
      </c>
      <c r="D1162" s="2" t="s">
        <v>231</v>
      </c>
      <c r="E1162">
        <v>2017</v>
      </c>
      <c r="F1162" s="2" t="s">
        <v>6</v>
      </c>
      <c r="G1162">
        <v>1</v>
      </c>
      <c r="H1162" s="2" t="s">
        <v>13</v>
      </c>
      <c r="I1162">
        <v>1</v>
      </c>
      <c r="J1162" s="2" t="s">
        <v>17</v>
      </c>
      <c r="K1162">
        <v>1</v>
      </c>
      <c r="L1162" s="2" t="s">
        <v>24</v>
      </c>
      <c r="M1162">
        <v>1</v>
      </c>
      <c r="N1162" s="2" t="s">
        <v>37</v>
      </c>
      <c r="O1162">
        <v>1</v>
      </c>
    </row>
    <row r="1163" spans="1:15" x14ac:dyDescent="0.35">
      <c r="A1163" s="2" t="s">
        <v>171</v>
      </c>
      <c r="B1163" s="2" t="s">
        <v>56</v>
      </c>
      <c r="C1163" s="2" t="s">
        <v>238</v>
      </c>
      <c r="D1163" s="2" t="s">
        <v>231</v>
      </c>
      <c r="E1163">
        <v>2017</v>
      </c>
      <c r="F1163" s="2" t="s">
        <v>6</v>
      </c>
      <c r="G1163">
        <v>1</v>
      </c>
      <c r="H1163" s="2" t="s">
        <v>13</v>
      </c>
      <c r="I1163">
        <v>1</v>
      </c>
      <c r="J1163" s="2" t="s">
        <v>17</v>
      </c>
      <c r="K1163">
        <v>1</v>
      </c>
      <c r="L1163" s="2" t="s">
        <v>24</v>
      </c>
      <c r="M1163">
        <v>1</v>
      </c>
      <c r="N1163" s="2" t="s">
        <v>38</v>
      </c>
      <c r="O1163">
        <v>1</v>
      </c>
    </row>
    <row r="1164" spans="1:15" x14ac:dyDescent="0.35">
      <c r="A1164" s="2" t="s">
        <v>172</v>
      </c>
      <c r="B1164" s="2" t="s">
        <v>56</v>
      </c>
      <c r="C1164" s="2" t="s">
        <v>238</v>
      </c>
      <c r="D1164" s="2" t="s">
        <v>231</v>
      </c>
      <c r="E1164">
        <v>2019</v>
      </c>
      <c r="F1164" s="2" t="s">
        <v>6</v>
      </c>
      <c r="G1164">
        <v>1</v>
      </c>
      <c r="H1164" s="2" t="s">
        <v>13</v>
      </c>
      <c r="I1164">
        <v>1</v>
      </c>
      <c r="J1164" s="2" t="s">
        <v>16</v>
      </c>
      <c r="K1164">
        <v>1</v>
      </c>
      <c r="L1164" s="2" t="s">
        <v>22</v>
      </c>
      <c r="M1164">
        <v>1</v>
      </c>
      <c r="N1164" s="2" t="s">
        <v>37</v>
      </c>
      <c r="O1164">
        <v>1</v>
      </c>
    </row>
    <row r="1165" spans="1:15" x14ac:dyDescent="0.35">
      <c r="A1165" s="2" t="s">
        <v>172</v>
      </c>
      <c r="B1165" s="2" t="s">
        <v>56</v>
      </c>
      <c r="C1165" s="2" t="s">
        <v>238</v>
      </c>
      <c r="D1165" s="2" t="s">
        <v>231</v>
      </c>
      <c r="E1165">
        <v>2019</v>
      </c>
      <c r="F1165" s="2" t="s">
        <v>6</v>
      </c>
      <c r="G1165">
        <v>1</v>
      </c>
      <c r="H1165" s="2" t="s">
        <v>13</v>
      </c>
      <c r="I1165">
        <v>1</v>
      </c>
      <c r="J1165" s="2" t="s">
        <v>16</v>
      </c>
      <c r="K1165">
        <v>1</v>
      </c>
      <c r="L1165" s="2" t="s">
        <v>22</v>
      </c>
      <c r="M1165">
        <v>1</v>
      </c>
      <c r="N1165" s="2" t="s">
        <v>38</v>
      </c>
      <c r="O1165">
        <v>1</v>
      </c>
    </row>
    <row r="1166" spans="1:15" x14ac:dyDescent="0.35">
      <c r="A1166" s="2" t="s">
        <v>172</v>
      </c>
      <c r="B1166" s="2" t="s">
        <v>56</v>
      </c>
      <c r="C1166" s="2" t="s">
        <v>238</v>
      </c>
      <c r="D1166" s="2" t="s">
        <v>231</v>
      </c>
      <c r="E1166">
        <v>2019</v>
      </c>
      <c r="F1166" s="2" t="s">
        <v>6</v>
      </c>
      <c r="G1166">
        <v>1</v>
      </c>
      <c r="H1166" s="2" t="s">
        <v>13</v>
      </c>
      <c r="I1166">
        <v>1</v>
      </c>
      <c r="J1166" s="2" t="s">
        <v>16</v>
      </c>
      <c r="K1166">
        <v>1</v>
      </c>
      <c r="L1166" s="2" t="s">
        <v>22</v>
      </c>
      <c r="M1166">
        <v>1</v>
      </c>
      <c r="N1166" s="2" t="s">
        <v>39</v>
      </c>
      <c r="O1166">
        <v>1</v>
      </c>
    </row>
    <row r="1167" spans="1:15" x14ac:dyDescent="0.35">
      <c r="A1167" s="2" t="s">
        <v>172</v>
      </c>
      <c r="B1167" s="2" t="s">
        <v>56</v>
      </c>
      <c r="C1167" s="2" t="s">
        <v>238</v>
      </c>
      <c r="D1167" s="2" t="s">
        <v>231</v>
      </c>
      <c r="E1167">
        <v>2019</v>
      </c>
      <c r="F1167" s="2" t="s">
        <v>6</v>
      </c>
      <c r="G1167">
        <v>1</v>
      </c>
      <c r="H1167" s="2" t="s">
        <v>13</v>
      </c>
      <c r="I1167">
        <v>1</v>
      </c>
      <c r="J1167" s="2" t="s">
        <v>16</v>
      </c>
      <c r="K1167">
        <v>1</v>
      </c>
      <c r="L1167" s="2" t="s">
        <v>24</v>
      </c>
      <c r="M1167">
        <v>1</v>
      </c>
      <c r="N1167" s="2" t="s">
        <v>37</v>
      </c>
      <c r="O1167">
        <v>1</v>
      </c>
    </row>
    <row r="1168" spans="1:15" x14ac:dyDescent="0.35">
      <c r="A1168" s="2" t="s">
        <v>172</v>
      </c>
      <c r="B1168" s="2" t="s">
        <v>56</v>
      </c>
      <c r="C1168" s="2" t="s">
        <v>238</v>
      </c>
      <c r="D1168" s="2" t="s">
        <v>231</v>
      </c>
      <c r="E1168">
        <v>2019</v>
      </c>
      <c r="F1168" s="2" t="s">
        <v>6</v>
      </c>
      <c r="G1168">
        <v>1</v>
      </c>
      <c r="H1168" s="2" t="s">
        <v>13</v>
      </c>
      <c r="I1168">
        <v>1</v>
      </c>
      <c r="J1168" s="2" t="s">
        <v>16</v>
      </c>
      <c r="K1168">
        <v>1</v>
      </c>
      <c r="L1168" s="2" t="s">
        <v>24</v>
      </c>
      <c r="M1168">
        <v>1</v>
      </c>
      <c r="N1168" s="2" t="s">
        <v>38</v>
      </c>
      <c r="O1168">
        <v>1</v>
      </c>
    </row>
    <row r="1169" spans="1:15" x14ac:dyDescent="0.35">
      <c r="A1169" s="2" t="s">
        <v>172</v>
      </c>
      <c r="B1169" s="2" t="s">
        <v>56</v>
      </c>
      <c r="C1169" s="2" t="s">
        <v>238</v>
      </c>
      <c r="D1169" s="2" t="s">
        <v>231</v>
      </c>
      <c r="E1169">
        <v>2019</v>
      </c>
      <c r="F1169" s="2" t="s">
        <v>6</v>
      </c>
      <c r="G1169">
        <v>1</v>
      </c>
      <c r="H1169" s="2" t="s">
        <v>13</v>
      </c>
      <c r="I1169">
        <v>1</v>
      </c>
      <c r="J1169" s="2" t="s">
        <v>16</v>
      </c>
      <c r="K1169">
        <v>1</v>
      </c>
      <c r="L1169" s="2" t="s">
        <v>24</v>
      </c>
      <c r="M1169">
        <v>1</v>
      </c>
      <c r="N1169" s="2" t="s">
        <v>39</v>
      </c>
      <c r="O1169">
        <v>1</v>
      </c>
    </row>
    <row r="1170" spans="1:15" x14ac:dyDescent="0.35">
      <c r="A1170" s="2" t="s">
        <v>172</v>
      </c>
      <c r="B1170" s="2" t="s">
        <v>56</v>
      </c>
      <c r="C1170" s="2" t="s">
        <v>238</v>
      </c>
      <c r="D1170" s="2" t="s">
        <v>231</v>
      </c>
      <c r="E1170">
        <v>2019</v>
      </c>
      <c r="F1170" s="2" t="s">
        <v>6</v>
      </c>
      <c r="G1170">
        <v>1</v>
      </c>
      <c r="H1170" s="2" t="s">
        <v>13</v>
      </c>
      <c r="I1170">
        <v>1</v>
      </c>
      <c r="J1170" s="2" t="s">
        <v>17</v>
      </c>
      <c r="K1170">
        <v>1</v>
      </c>
      <c r="L1170" s="2" t="s">
        <v>22</v>
      </c>
      <c r="M1170">
        <v>1</v>
      </c>
      <c r="N1170" s="2" t="s">
        <v>37</v>
      </c>
      <c r="O1170">
        <v>1</v>
      </c>
    </row>
    <row r="1171" spans="1:15" x14ac:dyDescent="0.35">
      <c r="A1171" s="2" t="s">
        <v>172</v>
      </c>
      <c r="B1171" s="2" t="s">
        <v>56</v>
      </c>
      <c r="C1171" s="2" t="s">
        <v>238</v>
      </c>
      <c r="D1171" s="2" t="s">
        <v>231</v>
      </c>
      <c r="E1171">
        <v>2019</v>
      </c>
      <c r="F1171" s="2" t="s">
        <v>6</v>
      </c>
      <c r="G1171">
        <v>1</v>
      </c>
      <c r="H1171" s="2" t="s">
        <v>13</v>
      </c>
      <c r="I1171">
        <v>1</v>
      </c>
      <c r="J1171" s="2" t="s">
        <v>17</v>
      </c>
      <c r="K1171">
        <v>1</v>
      </c>
      <c r="L1171" s="2" t="s">
        <v>22</v>
      </c>
      <c r="M1171">
        <v>1</v>
      </c>
      <c r="N1171" s="2" t="s">
        <v>38</v>
      </c>
      <c r="O1171">
        <v>1</v>
      </c>
    </row>
    <row r="1172" spans="1:15" x14ac:dyDescent="0.35">
      <c r="A1172" s="2" t="s">
        <v>172</v>
      </c>
      <c r="B1172" s="2" t="s">
        <v>56</v>
      </c>
      <c r="C1172" s="2" t="s">
        <v>238</v>
      </c>
      <c r="D1172" s="2" t="s">
        <v>231</v>
      </c>
      <c r="E1172">
        <v>2019</v>
      </c>
      <c r="F1172" s="2" t="s">
        <v>6</v>
      </c>
      <c r="G1172">
        <v>1</v>
      </c>
      <c r="H1172" s="2" t="s">
        <v>13</v>
      </c>
      <c r="I1172">
        <v>1</v>
      </c>
      <c r="J1172" s="2" t="s">
        <v>17</v>
      </c>
      <c r="K1172">
        <v>1</v>
      </c>
      <c r="L1172" s="2" t="s">
        <v>22</v>
      </c>
      <c r="M1172">
        <v>1</v>
      </c>
      <c r="N1172" s="2" t="s">
        <v>39</v>
      </c>
      <c r="O1172">
        <v>1</v>
      </c>
    </row>
    <row r="1173" spans="1:15" x14ac:dyDescent="0.35">
      <c r="A1173" s="2" t="s">
        <v>172</v>
      </c>
      <c r="B1173" s="2" t="s">
        <v>56</v>
      </c>
      <c r="C1173" s="2" t="s">
        <v>238</v>
      </c>
      <c r="D1173" s="2" t="s">
        <v>231</v>
      </c>
      <c r="E1173">
        <v>2019</v>
      </c>
      <c r="F1173" s="2" t="s">
        <v>6</v>
      </c>
      <c r="G1173">
        <v>1</v>
      </c>
      <c r="H1173" s="2" t="s">
        <v>13</v>
      </c>
      <c r="I1173">
        <v>1</v>
      </c>
      <c r="J1173" s="2" t="s">
        <v>17</v>
      </c>
      <c r="K1173">
        <v>1</v>
      </c>
      <c r="L1173" s="2" t="s">
        <v>24</v>
      </c>
      <c r="M1173">
        <v>1</v>
      </c>
      <c r="N1173" s="2" t="s">
        <v>37</v>
      </c>
      <c r="O1173">
        <v>1</v>
      </c>
    </row>
    <row r="1174" spans="1:15" x14ac:dyDescent="0.35">
      <c r="A1174" s="2" t="s">
        <v>172</v>
      </c>
      <c r="B1174" s="2" t="s">
        <v>56</v>
      </c>
      <c r="C1174" s="2" t="s">
        <v>238</v>
      </c>
      <c r="D1174" s="2" t="s">
        <v>231</v>
      </c>
      <c r="E1174">
        <v>2019</v>
      </c>
      <c r="F1174" s="2" t="s">
        <v>6</v>
      </c>
      <c r="G1174">
        <v>1</v>
      </c>
      <c r="H1174" s="2" t="s">
        <v>13</v>
      </c>
      <c r="I1174">
        <v>1</v>
      </c>
      <c r="J1174" s="2" t="s">
        <v>17</v>
      </c>
      <c r="K1174">
        <v>1</v>
      </c>
      <c r="L1174" s="2" t="s">
        <v>24</v>
      </c>
      <c r="M1174">
        <v>1</v>
      </c>
      <c r="N1174" s="2" t="s">
        <v>38</v>
      </c>
      <c r="O1174">
        <v>1</v>
      </c>
    </row>
    <row r="1175" spans="1:15" x14ac:dyDescent="0.35">
      <c r="A1175" s="2" t="s">
        <v>172</v>
      </c>
      <c r="B1175" s="2" t="s">
        <v>56</v>
      </c>
      <c r="C1175" s="2" t="s">
        <v>238</v>
      </c>
      <c r="D1175" s="2" t="s">
        <v>231</v>
      </c>
      <c r="E1175">
        <v>2019</v>
      </c>
      <c r="F1175" s="2" t="s">
        <v>6</v>
      </c>
      <c r="G1175">
        <v>1</v>
      </c>
      <c r="H1175" s="2" t="s">
        <v>13</v>
      </c>
      <c r="I1175">
        <v>1</v>
      </c>
      <c r="J1175" s="2" t="s">
        <v>17</v>
      </c>
      <c r="K1175">
        <v>1</v>
      </c>
      <c r="L1175" s="2" t="s">
        <v>24</v>
      </c>
      <c r="M1175">
        <v>1</v>
      </c>
      <c r="N1175" s="2" t="s">
        <v>39</v>
      </c>
      <c r="O1175">
        <v>1</v>
      </c>
    </row>
    <row r="1176" spans="1:15" x14ac:dyDescent="0.35">
      <c r="A1176" s="2" t="s">
        <v>176</v>
      </c>
      <c r="B1176" s="2" t="s">
        <v>66</v>
      </c>
      <c r="C1176" s="2" t="s">
        <v>52</v>
      </c>
      <c r="D1176" s="2" t="s">
        <v>232</v>
      </c>
      <c r="E1176">
        <v>2020</v>
      </c>
      <c r="F1176" s="2" t="s">
        <v>6</v>
      </c>
      <c r="G1176">
        <v>1</v>
      </c>
      <c r="H1176" s="2" t="s">
        <v>13</v>
      </c>
      <c r="I1176">
        <v>1</v>
      </c>
      <c r="J1176" s="2" t="s">
        <v>14</v>
      </c>
      <c r="K1176">
        <v>1</v>
      </c>
      <c r="L1176" s="2" t="s">
        <v>21</v>
      </c>
      <c r="M1176">
        <v>1</v>
      </c>
      <c r="N1176" s="2" t="s">
        <v>37</v>
      </c>
      <c r="O1176">
        <v>1</v>
      </c>
    </row>
    <row r="1177" spans="1:15" x14ac:dyDescent="0.35">
      <c r="A1177" s="2" t="s">
        <v>176</v>
      </c>
      <c r="B1177" s="2" t="s">
        <v>66</v>
      </c>
      <c r="C1177" s="2" t="s">
        <v>52</v>
      </c>
      <c r="D1177" s="2" t="s">
        <v>232</v>
      </c>
      <c r="E1177">
        <v>2020</v>
      </c>
      <c r="F1177" s="2" t="s">
        <v>6</v>
      </c>
      <c r="G1177">
        <v>1</v>
      </c>
      <c r="H1177" s="2" t="s">
        <v>13</v>
      </c>
      <c r="I1177">
        <v>1</v>
      </c>
      <c r="J1177" s="2" t="s">
        <v>14</v>
      </c>
      <c r="K1177">
        <v>1</v>
      </c>
      <c r="L1177" s="2" t="s">
        <v>21</v>
      </c>
      <c r="M1177">
        <v>1</v>
      </c>
      <c r="N1177" s="2" t="s">
        <v>44</v>
      </c>
      <c r="O1177">
        <v>1</v>
      </c>
    </row>
    <row r="1178" spans="1:15" x14ac:dyDescent="0.35">
      <c r="A1178" s="2" t="s">
        <v>176</v>
      </c>
      <c r="B1178" s="2" t="s">
        <v>66</v>
      </c>
      <c r="C1178" s="2" t="s">
        <v>52</v>
      </c>
      <c r="D1178" s="2" t="s">
        <v>232</v>
      </c>
      <c r="E1178">
        <v>2020</v>
      </c>
      <c r="F1178" s="2" t="s">
        <v>6</v>
      </c>
      <c r="G1178">
        <v>1</v>
      </c>
      <c r="H1178" s="2" t="s">
        <v>13</v>
      </c>
      <c r="I1178">
        <v>1</v>
      </c>
      <c r="J1178" s="2" t="s">
        <v>15</v>
      </c>
      <c r="K1178">
        <v>1</v>
      </c>
      <c r="L1178" s="2" t="s">
        <v>21</v>
      </c>
      <c r="M1178">
        <v>1</v>
      </c>
      <c r="N1178" s="2" t="s">
        <v>37</v>
      </c>
      <c r="O1178">
        <v>1</v>
      </c>
    </row>
    <row r="1179" spans="1:15" x14ac:dyDescent="0.35">
      <c r="A1179" s="2" t="s">
        <v>176</v>
      </c>
      <c r="B1179" s="2" t="s">
        <v>66</v>
      </c>
      <c r="C1179" s="2" t="s">
        <v>52</v>
      </c>
      <c r="D1179" s="2" t="s">
        <v>232</v>
      </c>
      <c r="E1179">
        <v>2020</v>
      </c>
      <c r="F1179" s="2" t="s">
        <v>6</v>
      </c>
      <c r="G1179">
        <v>1</v>
      </c>
      <c r="H1179" s="2" t="s">
        <v>13</v>
      </c>
      <c r="I1179">
        <v>1</v>
      </c>
      <c r="J1179" s="2" t="s">
        <v>15</v>
      </c>
      <c r="K1179">
        <v>1</v>
      </c>
      <c r="L1179" s="2" t="s">
        <v>21</v>
      </c>
      <c r="M1179">
        <v>1</v>
      </c>
      <c r="N1179" s="2" t="s">
        <v>44</v>
      </c>
      <c r="O1179">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BADC9A-470F-468B-A7D4-32B50D9A3ED4}">
  <dimension ref="A1:K1048174"/>
  <sheetViews>
    <sheetView workbookViewId="0">
      <selection activeCell="L6" sqref="L6"/>
    </sheetView>
  </sheetViews>
  <sheetFormatPr defaultRowHeight="15.5" x14ac:dyDescent="0.35"/>
  <cols>
    <col min="1" max="2" width="8.7265625" style="16"/>
    <col min="3" max="3" width="31.36328125" style="35" customWidth="1"/>
    <col min="4" max="4" width="6.1796875" style="35" customWidth="1"/>
    <col min="5" max="5" width="7" style="36" customWidth="1"/>
    <col min="6" max="6" width="45.36328125" style="35" customWidth="1"/>
    <col min="7" max="7" width="6" style="35" customWidth="1"/>
    <col min="8" max="8" width="7.26953125" style="36" customWidth="1"/>
    <col min="9" max="10" width="8.7265625" style="16"/>
    <col min="11" max="11" width="12.81640625" hidden="1" customWidth="1"/>
  </cols>
  <sheetData>
    <row r="1" spans="1:11" x14ac:dyDescent="0.35">
      <c r="A1" s="106" t="s">
        <v>225</v>
      </c>
      <c r="B1" s="106"/>
      <c r="C1" s="106"/>
      <c r="D1" s="106"/>
      <c r="E1" s="106"/>
      <c r="F1" s="106"/>
      <c r="G1" s="106"/>
      <c r="H1" s="106"/>
      <c r="I1" s="106"/>
      <c r="J1" s="106"/>
      <c r="K1" s="16"/>
    </row>
    <row r="2" spans="1:11" x14ac:dyDescent="0.35">
      <c r="A2" s="106"/>
      <c r="B2" s="106"/>
      <c r="C2" s="106"/>
      <c r="D2" s="106"/>
      <c r="E2" s="106"/>
      <c r="F2" s="106"/>
      <c r="G2" s="106"/>
      <c r="H2" s="106"/>
      <c r="I2" s="106"/>
      <c r="J2" s="106"/>
      <c r="K2" s="16"/>
    </row>
    <row r="3" spans="1:11" x14ac:dyDescent="0.35">
      <c r="A3" s="107"/>
      <c r="B3" s="107"/>
      <c r="C3" s="17" t="s">
        <v>226</v>
      </c>
      <c r="D3" s="17" t="s">
        <v>223</v>
      </c>
      <c r="E3" s="18" t="s">
        <v>227</v>
      </c>
      <c r="F3" s="17" t="s">
        <v>228</v>
      </c>
      <c r="G3" s="17" t="s">
        <v>223</v>
      </c>
      <c r="H3" s="18" t="s">
        <v>227</v>
      </c>
      <c r="I3" s="108"/>
      <c r="J3" s="109"/>
      <c r="K3" s="19" t="s">
        <v>229</v>
      </c>
    </row>
    <row r="4" spans="1:11" x14ac:dyDescent="0.35">
      <c r="A4" s="107"/>
      <c r="B4" s="107"/>
      <c r="C4" s="38" t="s">
        <v>56</v>
      </c>
      <c r="D4" s="20">
        <f>COUNTIF(Table1[Context],"Sex Trafficking")</f>
        <v>68</v>
      </c>
      <c r="E4" s="21">
        <f>D4/K$4</f>
        <v>0.47887323943661969</v>
      </c>
      <c r="F4" s="38" t="s">
        <v>230</v>
      </c>
      <c r="G4" s="20">
        <f>COUNTIF(Table1[Category],"Operations Research")</f>
        <v>22</v>
      </c>
      <c r="H4" s="21">
        <f>G4/K$4</f>
        <v>0.15492957746478872</v>
      </c>
      <c r="I4" s="108"/>
      <c r="J4" s="109"/>
      <c r="K4" s="22">
        <v>142</v>
      </c>
    </row>
    <row r="5" spans="1:11" ht="14.5" x14ac:dyDescent="0.35">
      <c r="A5" s="107"/>
      <c r="B5" s="107"/>
      <c r="C5" s="38" t="s">
        <v>66</v>
      </c>
      <c r="D5" s="20">
        <f>COUNTIF(Table1[Context],"Labor Trafficking")</f>
        <v>17</v>
      </c>
      <c r="E5" s="21">
        <f>D5/K$4</f>
        <v>0.11971830985915492</v>
      </c>
      <c r="F5" s="38" t="s">
        <v>231</v>
      </c>
      <c r="G5" s="20">
        <f>COUNTIF(Table1[Category],"Analytics")</f>
        <v>105</v>
      </c>
      <c r="H5" s="21">
        <f>G5/K$4</f>
        <v>0.73943661971830987</v>
      </c>
      <c r="I5" s="108"/>
      <c r="J5" s="109"/>
    </row>
    <row r="6" spans="1:11" ht="14.5" x14ac:dyDescent="0.35">
      <c r="A6" s="107"/>
      <c r="B6" s="107"/>
      <c r="C6" s="38" t="s">
        <v>49</v>
      </c>
      <c r="D6" s="20">
        <f>COUNTIF(Table1[Context],"General")</f>
        <v>57</v>
      </c>
      <c r="E6" s="21">
        <f>D6/K$4</f>
        <v>0.40140845070422537</v>
      </c>
      <c r="F6" s="38" t="s">
        <v>232</v>
      </c>
      <c r="G6" s="20">
        <f>COUNTIF(Table1[Category],"Position / Thought")</f>
        <v>15</v>
      </c>
      <c r="H6" s="21">
        <f>G6/K$4</f>
        <v>0.10563380281690141</v>
      </c>
      <c r="I6" s="108"/>
      <c r="J6" s="109"/>
    </row>
    <row r="7" spans="1:11" ht="14.5" x14ac:dyDescent="0.35">
      <c r="A7" s="107"/>
      <c r="B7" s="107"/>
      <c r="C7" s="23" t="s">
        <v>233</v>
      </c>
      <c r="D7" s="23" t="s">
        <v>223</v>
      </c>
      <c r="E7" s="24" t="s">
        <v>227</v>
      </c>
      <c r="F7" s="23" t="s">
        <v>234</v>
      </c>
      <c r="G7" s="23" t="s">
        <v>223</v>
      </c>
      <c r="H7" s="24" t="s">
        <v>227</v>
      </c>
      <c r="I7" s="108"/>
      <c r="J7" s="109"/>
    </row>
    <row r="8" spans="1:11" ht="14.5" x14ac:dyDescent="0.35">
      <c r="A8" s="107"/>
      <c r="B8" s="107"/>
      <c r="C8" s="38" t="s">
        <v>14</v>
      </c>
      <c r="D8" s="20">
        <f>COUNTIF(Table1[Prevention],1)</f>
        <v>47</v>
      </c>
      <c r="E8" s="21">
        <f>D8/K$4</f>
        <v>0.33098591549295775</v>
      </c>
      <c r="F8" s="38" t="s">
        <v>235</v>
      </c>
      <c r="G8" s="20">
        <f>COUNTIF(Table1[Data Type],"Primary")</f>
        <v>5</v>
      </c>
      <c r="H8" s="21">
        <f>G8/K$4</f>
        <v>3.5211267605633804E-2</v>
      </c>
      <c r="I8" s="108"/>
      <c r="J8" s="109"/>
    </row>
    <row r="9" spans="1:11" ht="14.5" x14ac:dyDescent="0.35">
      <c r="A9" s="107"/>
      <c r="B9" s="107"/>
      <c r="C9" s="38" t="s">
        <v>15</v>
      </c>
      <c r="D9" s="20">
        <f>COUNTIF(Table1[Protection],1)</f>
        <v>64</v>
      </c>
      <c r="E9" s="21">
        <f>D9/K$4</f>
        <v>0.45070422535211269</v>
      </c>
      <c r="F9" s="38" t="s">
        <v>236</v>
      </c>
      <c r="G9" s="20">
        <f>COUNTIF(Table1[Data Type],"Secondary (Publicly Available)")</f>
        <v>111</v>
      </c>
      <c r="H9" s="21">
        <f>G9/K$4</f>
        <v>0.78169014084507038</v>
      </c>
      <c r="I9" s="108"/>
      <c r="J9" s="109"/>
    </row>
    <row r="10" spans="1:11" ht="14.5" x14ac:dyDescent="0.35">
      <c r="A10" s="107"/>
      <c r="B10" s="107"/>
      <c r="C10" s="38" t="s">
        <v>237</v>
      </c>
      <c r="D10" s="20">
        <f>COUNTIF(Table1[Prosection],1)</f>
        <v>89</v>
      </c>
      <c r="E10" s="21">
        <f>D10/K$4</f>
        <v>0.62676056338028174</v>
      </c>
      <c r="F10" s="38" t="s">
        <v>238</v>
      </c>
      <c r="G10" s="20">
        <f>COUNTIF(Table1[Data Type],"Mixed")</f>
        <v>8</v>
      </c>
      <c r="H10" s="21">
        <f>G10/K$4</f>
        <v>5.6338028169014086E-2</v>
      </c>
      <c r="I10" s="108"/>
      <c r="J10" s="109"/>
    </row>
    <row r="11" spans="1:11" ht="14.5" x14ac:dyDescent="0.35">
      <c r="A11" s="107"/>
      <c r="B11" s="107"/>
      <c r="C11" s="38" t="s">
        <v>17</v>
      </c>
      <c r="D11" s="20">
        <f>COUNTIF(Table1[Partnership],1)</f>
        <v>61</v>
      </c>
      <c r="E11" s="21">
        <f>D11/K$4</f>
        <v>0.42957746478873238</v>
      </c>
      <c r="F11" s="38" t="s">
        <v>239</v>
      </c>
      <c r="G11" s="20">
        <f>COUNTIF(Table1[Data Type],"N/A")</f>
        <v>18</v>
      </c>
      <c r="H11" s="21">
        <f>G11/K$4</f>
        <v>0.12676056338028169</v>
      </c>
      <c r="I11" s="108"/>
      <c r="J11" s="109"/>
    </row>
    <row r="12" spans="1:11" ht="14.5" x14ac:dyDescent="0.35">
      <c r="A12" s="107"/>
      <c r="B12" s="107"/>
      <c r="C12" s="23" t="s">
        <v>240</v>
      </c>
      <c r="D12" s="23" t="s">
        <v>223</v>
      </c>
      <c r="E12" s="24" t="s">
        <v>227</v>
      </c>
      <c r="F12" s="23" t="s">
        <v>281</v>
      </c>
      <c r="G12" s="23" t="s">
        <v>223</v>
      </c>
      <c r="H12" s="24" t="s">
        <v>227</v>
      </c>
      <c r="I12" s="108"/>
      <c r="J12" s="109"/>
    </row>
    <row r="13" spans="1:11" ht="14.5" x14ac:dyDescent="0.35">
      <c r="A13" s="107"/>
      <c r="B13" s="107"/>
      <c r="C13" s="38" t="s">
        <v>11</v>
      </c>
      <c r="D13" s="20">
        <f>COUNTIF(Table1[Africa],1)</f>
        <v>3</v>
      </c>
      <c r="E13" s="21">
        <f>D13/K$4</f>
        <v>2.1126760563380281E-2</v>
      </c>
      <c r="F13" s="38" t="s">
        <v>2</v>
      </c>
      <c r="G13" s="20">
        <f>COUNTIF(Table1[Female],1)</f>
        <v>18</v>
      </c>
      <c r="H13" s="21">
        <f>G13/K$4</f>
        <v>0.12676056338028169</v>
      </c>
      <c r="I13" s="108"/>
      <c r="J13" s="109"/>
    </row>
    <row r="14" spans="1:11" ht="14.5" x14ac:dyDescent="0.35">
      <c r="A14" s="107"/>
      <c r="B14" s="107"/>
      <c r="C14" s="38" t="s">
        <v>10</v>
      </c>
      <c r="D14" s="20">
        <f>COUNTIF(Table1[Asia],1)</f>
        <v>18</v>
      </c>
      <c r="E14" s="21">
        <f t="shared" ref="E14:E19" si="0">D14/K$4</f>
        <v>0.12676056338028169</v>
      </c>
      <c r="F14" s="38" t="s">
        <v>3</v>
      </c>
      <c r="G14" s="20">
        <f>COUNTIF(Table1[Male],1)</f>
        <v>0</v>
      </c>
      <c r="H14" s="21">
        <f>G14/K$4</f>
        <v>0</v>
      </c>
      <c r="I14" s="108"/>
      <c r="J14" s="109"/>
    </row>
    <row r="15" spans="1:11" ht="14.5" x14ac:dyDescent="0.35">
      <c r="A15" s="107"/>
      <c r="B15" s="107"/>
      <c r="C15" s="38" t="s">
        <v>241</v>
      </c>
      <c r="D15" s="20">
        <f>COUNTIF(Table1[Australia/Oceania],1)</f>
        <v>2</v>
      </c>
      <c r="E15" s="21">
        <f t="shared" si="0"/>
        <v>1.4084507042253521E-2</v>
      </c>
      <c r="F15" s="38" t="s">
        <v>242</v>
      </c>
      <c r="G15" s="20">
        <f>COUNTIF(Table1[Child/Underage],1)</f>
        <v>20</v>
      </c>
      <c r="H15" s="21">
        <f>G15/K$4</f>
        <v>0.14084507042253522</v>
      </c>
      <c r="I15" s="108"/>
      <c r="J15" s="109"/>
    </row>
    <row r="16" spans="1:11" ht="14.5" x14ac:dyDescent="0.35">
      <c r="A16" s="107"/>
      <c r="B16" s="107"/>
      <c r="C16" s="38" t="s">
        <v>9</v>
      </c>
      <c r="D16" s="20">
        <f>COUNTIF(Table1[Europe],1)</f>
        <v>16</v>
      </c>
      <c r="E16" s="21">
        <f t="shared" si="0"/>
        <v>0.11267605633802817</v>
      </c>
      <c r="F16" s="38" t="s">
        <v>5</v>
      </c>
      <c r="G16" s="20">
        <f>COUNTIF(Table1[LGBTQ+],1)</f>
        <v>0</v>
      </c>
      <c r="H16" s="21">
        <f>G16/K$4</f>
        <v>0</v>
      </c>
      <c r="I16" s="108"/>
      <c r="J16" s="109"/>
    </row>
    <row r="17" spans="1:10" ht="14.5" x14ac:dyDescent="0.35">
      <c r="A17" s="107"/>
      <c r="B17" s="107"/>
      <c r="C17" s="38" t="s">
        <v>7</v>
      </c>
      <c r="D17" s="20">
        <f>COUNTIF(Table1[North America],1)</f>
        <v>54</v>
      </c>
      <c r="E17" s="21">
        <f>D17/K4</f>
        <v>0.38028169014084506</v>
      </c>
      <c r="F17" s="38" t="s">
        <v>243</v>
      </c>
      <c r="G17" s="20">
        <f>COUNTIF(Table1[Unspecfied or All individuals],1)</f>
        <v>109</v>
      </c>
      <c r="H17" s="21">
        <f>G17/K$4</f>
        <v>0.76760563380281688</v>
      </c>
      <c r="I17" s="108"/>
      <c r="J17" s="109"/>
    </row>
    <row r="18" spans="1:10" ht="14.5" x14ac:dyDescent="0.35">
      <c r="A18" s="107"/>
      <c r="B18" s="107"/>
      <c r="C18" s="38" t="s">
        <v>8</v>
      </c>
      <c r="D18" s="20">
        <f>COUNTIF(Table1[South America],1)</f>
        <v>5</v>
      </c>
      <c r="E18" s="21">
        <f t="shared" si="0"/>
        <v>3.5211267605633804E-2</v>
      </c>
      <c r="F18" s="23" t="s">
        <v>244</v>
      </c>
      <c r="G18" s="23" t="s">
        <v>223</v>
      </c>
      <c r="H18" s="24" t="s">
        <v>227</v>
      </c>
      <c r="I18" s="108"/>
      <c r="J18" s="109"/>
    </row>
    <row r="19" spans="1:10" ht="14.5" x14ac:dyDescent="0.35">
      <c r="A19" s="107"/>
      <c r="B19" s="107"/>
      <c r="C19" s="38" t="s">
        <v>245</v>
      </c>
      <c r="D19" s="20">
        <f>COUNTIF(Table1[Unspecified/All regions],1)</f>
        <v>51</v>
      </c>
      <c r="E19" s="21">
        <f t="shared" si="0"/>
        <v>0.35915492957746481</v>
      </c>
      <c r="F19" s="38" t="s">
        <v>34</v>
      </c>
      <c r="G19" s="20">
        <f>COUNTIF(Table1[Active Learning],1)</f>
        <v>2</v>
      </c>
      <c r="H19" s="21">
        <f>G19/K$4</f>
        <v>1.4084507042253521E-2</v>
      </c>
      <c r="I19" s="108"/>
      <c r="J19" s="109"/>
    </row>
    <row r="20" spans="1:10" ht="14.5" x14ac:dyDescent="0.35">
      <c r="A20" s="107"/>
      <c r="B20" s="107"/>
      <c r="C20" s="23" t="s">
        <v>246</v>
      </c>
      <c r="D20" s="23" t="s">
        <v>223</v>
      </c>
      <c r="E20" s="24" t="s">
        <v>227</v>
      </c>
      <c r="F20" s="38" t="s">
        <v>38</v>
      </c>
      <c r="G20" s="20">
        <f>COUNTIF(Table1[Clustering or Classification],1)</f>
        <v>60</v>
      </c>
      <c r="H20" s="21">
        <f t="shared" ref="H20:H39" si="1">G20/K$4</f>
        <v>0.42253521126760563</v>
      </c>
      <c r="I20" s="108"/>
      <c r="J20" s="109"/>
    </row>
    <row r="21" spans="1:10" ht="14.5" x14ac:dyDescent="0.35">
      <c r="A21" s="107"/>
      <c r="B21" s="107"/>
      <c r="C21" s="38" t="s">
        <v>22</v>
      </c>
      <c r="D21" s="20">
        <f>COUNTIF(Table1[Decision Support],1)</f>
        <v>65</v>
      </c>
      <c r="E21" s="21">
        <f t="shared" ref="E21:E26" si="2">D21/K$4</f>
        <v>0.45774647887323944</v>
      </c>
      <c r="F21" s="38" t="s">
        <v>26</v>
      </c>
      <c r="G21" s="20">
        <f>COUNTIF(Table1[Data Envelopment Analysis],1)</f>
        <v>1</v>
      </c>
      <c r="H21" s="21">
        <f t="shared" si="1"/>
        <v>7.0422535211267607E-3</v>
      </c>
      <c r="I21" s="108"/>
      <c r="J21" s="109"/>
    </row>
    <row r="22" spans="1:10" ht="14.5" x14ac:dyDescent="0.35">
      <c r="A22" s="107"/>
      <c r="B22" s="107"/>
      <c r="C22" s="38" t="s">
        <v>24</v>
      </c>
      <c r="D22" s="20">
        <f>COUNTIF(Table1[Inferential Statistics / Detection],1)</f>
        <v>69</v>
      </c>
      <c r="E22" s="21">
        <f t="shared" si="2"/>
        <v>0.4859154929577465</v>
      </c>
      <c r="F22" s="38" t="s">
        <v>33</v>
      </c>
      <c r="G22" s="20">
        <f>COUNTIF(Table1[Empirical Analysis],1)</f>
        <v>21</v>
      </c>
      <c r="H22" s="21">
        <f t="shared" si="1"/>
        <v>0.14788732394366197</v>
      </c>
      <c r="I22" s="108"/>
      <c r="J22" s="109"/>
    </row>
    <row r="23" spans="1:10" ht="14.5" x14ac:dyDescent="0.35">
      <c r="A23" s="107"/>
      <c r="B23" s="107"/>
      <c r="C23" s="38" t="s">
        <v>247</v>
      </c>
      <c r="D23" s="20">
        <f>COUNTIF(Table1[Network Flow],1)</f>
        <v>33</v>
      </c>
      <c r="E23" s="21">
        <f t="shared" si="2"/>
        <v>0.23239436619718309</v>
      </c>
      <c r="F23" s="38" t="s">
        <v>248</v>
      </c>
      <c r="G23" s="20">
        <f>COUNTIF(Table1[Facility location],1)</f>
        <v>1</v>
      </c>
      <c r="H23" s="21">
        <f t="shared" si="1"/>
        <v>7.0422535211267607E-3</v>
      </c>
      <c r="I23" s="108"/>
      <c r="J23" s="109"/>
    </row>
    <row r="24" spans="1:10" ht="14.5" x14ac:dyDescent="0.35">
      <c r="A24" s="107"/>
      <c r="B24" s="107"/>
      <c r="C24" s="38" t="s">
        <v>249</v>
      </c>
      <c r="D24" s="20">
        <f>COUNTIF(Table1[Resource Alloction],1)</f>
        <v>3</v>
      </c>
      <c r="E24" s="21">
        <f t="shared" si="2"/>
        <v>2.1126760563380281E-2</v>
      </c>
      <c r="F24" s="38" t="s">
        <v>43</v>
      </c>
      <c r="G24" s="20">
        <f>COUNTIF(Table1[Game Theory],1)</f>
        <v>3</v>
      </c>
      <c r="H24" s="21">
        <f t="shared" si="1"/>
        <v>2.1126760563380281E-2</v>
      </c>
      <c r="I24" s="108"/>
      <c r="J24" s="109"/>
    </row>
    <row r="25" spans="1:10" ht="14.5" x14ac:dyDescent="0.35">
      <c r="A25" s="107"/>
      <c r="B25" s="107"/>
      <c r="C25" s="38" t="s">
        <v>21</v>
      </c>
      <c r="D25" s="20">
        <f>COUNTIF(Table1[Supply Chain],1)</f>
        <v>10</v>
      </c>
      <c r="E25" s="21">
        <f t="shared" si="2"/>
        <v>7.0422535211267609E-2</v>
      </c>
      <c r="F25" s="38" t="s">
        <v>35</v>
      </c>
      <c r="G25" s="20">
        <f>COUNTIF(Table1[Graph Construction],1)</f>
        <v>31</v>
      </c>
      <c r="H25" s="21">
        <f t="shared" si="1"/>
        <v>0.21830985915492956</v>
      </c>
      <c r="I25" s="108"/>
      <c r="J25" s="109"/>
    </row>
    <row r="26" spans="1:10" ht="14.5" x14ac:dyDescent="0.35">
      <c r="A26" s="107"/>
      <c r="B26" s="107"/>
      <c r="C26" s="38" t="s">
        <v>23</v>
      </c>
      <c r="D26" s="20">
        <f>COUNTIF(Table1[Other / Unspecified],1)</f>
        <v>22</v>
      </c>
      <c r="E26" s="21">
        <f t="shared" si="2"/>
        <v>0.15492957746478872</v>
      </c>
      <c r="F26" s="38" t="s">
        <v>41</v>
      </c>
      <c r="G26" s="20">
        <f>COUNTIF(Table1[Information Extraction],1)</f>
        <v>16</v>
      </c>
      <c r="H26" s="21">
        <f t="shared" si="1"/>
        <v>0.11267605633802817</v>
      </c>
      <c r="I26" s="108"/>
      <c r="J26" s="109"/>
    </row>
    <row r="27" spans="1:10" ht="14.5" x14ac:dyDescent="0.35">
      <c r="A27" s="107"/>
      <c r="B27" s="107"/>
      <c r="C27" s="23" t="s">
        <v>250</v>
      </c>
      <c r="D27" s="23" t="s">
        <v>223</v>
      </c>
      <c r="E27" s="24" t="s">
        <v>227</v>
      </c>
      <c r="F27" s="38" t="s">
        <v>28</v>
      </c>
      <c r="G27" s="20">
        <f>COUNTIF(Table1[Integer Programming],1)</f>
        <v>4</v>
      </c>
      <c r="H27" s="21">
        <f t="shared" si="1"/>
        <v>2.8169014084507043E-2</v>
      </c>
      <c r="I27" s="108"/>
      <c r="J27" s="109"/>
    </row>
    <row r="28" spans="1:10" ht="14.5" x14ac:dyDescent="0.35">
      <c r="A28" s="107"/>
      <c r="B28" s="107"/>
      <c r="C28" s="38">
        <v>2010</v>
      </c>
      <c r="D28" s="20">
        <f>COUNTIF(Table1[Year Published],2010)</f>
        <v>1</v>
      </c>
      <c r="E28" s="21">
        <f>D28/K$4</f>
        <v>7.0422535211267607E-3</v>
      </c>
      <c r="F28" s="38" t="s">
        <v>42</v>
      </c>
      <c r="G28" s="20">
        <f>COUNTIF(Table1[Investigative Search],1)</f>
        <v>4</v>
      </c>
      <c r="H28" s="21">
        <f t="shared" si="1"/>
        <v>2.8169014084507043E-2</v>
      </c>
      <c r="I28" s="108"/>
      <c r="J28" s="109"/>
    </row>
    <row r="29" spans="1:10" ht="14.5" x14ac:dyDescent="0.35">
      <c r="A29" s="107"/>
      <c r="B29" s="107"/>
      <c r="C29" s="38">
        <v>2011</v>
      </c>
      <c r="D29" s="20">
        <f>COUNTIF(Table1[Year Published],2011)</f>
        <v>2</v>
      </c>
      <c r="E29" s="21">
        <f t="shared" ref="E29:E39" si="3">D29/K$4</f>
        <v>1.4084507042253521E-2</v>
      </c>
      <c r="F29" s="38" t="s">
        <v>36</v>
      </c>
      <c r="G29" s="20">
        <f>COUNTIF(Table1[Link Inference],1)</f>
        <v>1</v>
      </c>
      <c r="H29" s="21">
        <f t="shared" si="1"/>
        <v>7.0422535211267607E-3</v>
      </c>
      <c r="I29" s="108"/>
      <c r="J29" s="109"/>
    </row>
    <row r="30" spans="1:10" ht="14.5" x14ac:dyDescent="0.35">
      <c r="A30" s="107"/>
      <c r="B30" s="107"/>
      <c r="C30" s="38">
        <v>2012</v>
      </c>
      <c r="D30" s="20">
        <f>COUNTIF(Table1[Year Published],2012)</f>
        <v>4</v>
      </c>
      <c r="E30" s="21">
        <f t="shared" si="3"/>
        <v>2.8169014084507043E-2</v>
      </c>
      <c r="F30" s="38" t="s">
        <v>37</v>
      </c>
      <c r="G30" s="20">
        <f>COUNTIF(Table1[Machine / Deep Learning (General)],1)</f>
        <v>69</v>
      </c>
      <c r="H30" s="21">
        <f t="shared" si="1"/>
        <v>0.4859154929577465</v>
      </c>
      <c r="I30" s="108"/>
      <c r="J30" s="109"/>
    </row>
    <row r="31" spans="1:10" ht="14.5" x14ac:dyDescent="0.35">
      <c r="A31" s="107"/>
      <c r="B31" s="107"/>
      <c r="C31" s="38">
        <v>2013</v>
      </c>
      <c r="D31" s="20">
        <f>COUNTIF(Table1[Year Published],2013)</f>
        <v>1</v>
      </c>
      <c r="E31" s="21">
        <f t="shared" si="3"/>
        <v>7.0422535211267607E-3</v>
      </c>
      <c r="F31" s="38" t="s">
        <v>40</v>
      </c>
      <c r="G31" s="20">
        <f>COUNTIF(Table1[Natural Language Processing],1)</f>
        <v>31</v>
      </c>
      <c r="H31" s="21">
        <f t="shared" si="1"/>
        <v>0.21830985915492956</v>
      </c>
      <c r="I31" s="108"/>
      <c r="J31" s="109"/>
    </row>
    <row r="32" spans="1:10" ht="14.5" x14ac:dyDescent="0.35">
      <c r="A32" s="107"/>
      <c r="B32" s="107"/>
      <c r="C32" s="38">
        <v>2014</v>
      </c>
      <c r="D32" s="20">
        <f>COUNTIF(Table1[Year Published],2014)</f>
        <v>6</v>
      </c>
      <c r="E32" s="21">
        <f t="shared" si="3"/>
        <v>4.2253521126760563E-2</v>
      </c>
      <c r="F32" s="40" t="s">
        <v>45</v>
      </c>
      <c r="G32" s="20">
        <f>COUNTIF(Table1[Network / Graph Theory],1)</f>
        <v>17</v>
      </c>
      <c r="H32" s="21">
        <f t="shared" si="1"/>
        <v>0.11971830985915492</v>
      </c>
      <c r="I32" s="108"/>
      <c r="J32" s="109"/>
    </row>
    <row r="33" spans="1:10" ht="14.5" x14ac:dyDescent="0.35">
      <c r="A33" s="107"/>
      <c r="B33" s="107"/>
      <c r="C33" s="38">
        <v>2015</v>
      </c>
      <c r="D33" s="20">
        <f>COUNTIF(Table1[Year Published],2015)</f>
        <v>5</v>
      </c>
      <c r="E33" s="21">
        <f t="shared" si="3"/>
        <v>3.5211267605633804E-2</v>
      </c>
      <c r="F33" s="38" t="s">
        <v>27</v>
      </c>
      <c r="G33" s="20">
        <f>COUNTIF(Table1[Network Interdiction],1)</f>
        <v>4</v>
      </c>
      <c r="H33" s="21">
        <f t="shared" si="1"/>
        <v>2.8169014084507043E-2</v>
      </c>
      <c r="I33" s="108"/>
      <c r="J33" s="109"/>
    </row>
    <row r="34" spans="1:10" ht="14.5" x14ac:dyDescent="0.35">
      <c r="A34" s="107"/>
      <c r="B34" s="107"/>
      <c r="C34" s="38">
        <v>2016</v>
      </c>
      <c r="D34" s="20">
        <f>COUNTIF(Table1[Year Published],2016)</f>
        <v>7</v>
      </c>
      <c r="E34" s="21">
        <f t="shared" si="3"/>
        <v>4.9295774647887321E-2</v>
      </c>
      <c r="F34" s="38" t="s">
        <v>251</v>
      </c>
      <c r="G34" s="20">
        <f>COUNTIF(Table1[Queuing Theory],1)</f>
        <v>0</v>
      </c>
      <c r="H34" s="21">
        <f t="shared" si="1"/>
        <v>0</v>
      </c>
      <c r="I34" s="108"/>
      <c r="J34" s="109"/>
    </row>
    <row r="35" spans="1:10" ht="14.5" x14ac:dyDescent="0.35">
      <c r="A35" s="107"/>
      <c r="B35" s="107"/>
      <c r="C35" s="38">
        <v>2017</v>
      </c>
      <c r="D35" s="20">
        <f>COUNTIF(Table1[Year Published],2017)</f>
        <v>15</v>
      </c>
      <c r="E35" s="21">
        <f t="shared" si="3"/>
        <v>0.10563380281690141</v>
      </c>
      <c r="F35" s="38" t="s">
        <v>32</v>
      </c>
      <c r="G35" s="20">
        <f>COUNTIF(Table1[(Social) Network Analysis],1)</f>
        <v>24</v>
      </c>
      <c r="H35" s="21">
        <f t="shared" si="1"/>
        <v>0.16901408450704225</v>
      </c>
      <c r="I35" s="108"/>
      <c r="J35" s="109"/>
    </row>
    <row r="36" spans="1:10" ht="14.5" x14ac:dyDescent="0.35">
      <c r="A36" s="107"/>
      <c r="B36" s="107"/>
      <c r="C36" s="38">
        <v>2018</v>
      </c>
      <c r="D36" s="20">
        <f>COUNTIF(Table1[Year Published],2018)</f>
        <v>21</v>
      </c>
      <c r="E36" s="21">
        <f t="shared" si="3"/>
        <v>0.14788732394366197</v>
      </c>
      <c r="F36" s="38" t="s">
        <v>31</v>
      </c>
      <c r="G36" s="20">
        <f>COUNTIF(Table1[Simulation],1)</f>
        <v>11</v>
      </c>
      <c r="H36" s="21">
        <f t="shared" si="1"/>
        <v>7.746478873239436E-2</v>
      </c>
      <c r="I36" s="108"/>
      <c r="J36" s="109"/>
    </row>
    <row r="37" spans="1:10" ht="14.5" x14ac:dyDescent="0.35">
      <c r="A37" s="107"/>
      <c r="B37" s="107"/>
      <c r="C37" s="38">
        <v>2019</v>
      </c>
      <c r="D37" s="20">
        <f>COUNTIF(Table1[Year Published],2019)</f>
        <v>22</v>
      </c>
      <c r="E37" s="21">
        <f t="shared" si="3"/>
        <v>0.15492957746478872</v>
      </c>
      <c r="F37" s="38" t="s">
        <v>39</v>
      </c>
      <c r="G37" s="20">
        <f>COUNTIF(Table1[Unsupervised or Minimally Supervised Learning],1)</f>
        <v>19</v>
      </c>
      <c r="H37" s="21">
        <f t="shared" si="1"/>
        <v>0.13380281690140844</v>
      </c>
      <c r="I37" s="108"/>
      <c r="J37" s="109"/>
    </row>
    <row r="38" spans="1:10" ht="14.5" x14ac:dyDescent="0.35">
      <c r="A38" s="107"/>
      <c r="B38" s="107"/>
      <c r="C38" s="38">
        <v>2020</v>
      </c>
      <c r="D38" s="20">
        <f>COUNTIF(Table1[Year Published],2020)</f>
        <v>22</v>
      </c>
      <c r="E38" s="21">
        <f t="shared" si="3"/>
        <v>0.15492957746478872</v>
      </c>
      <c r="F38" s="38" t="s">
        <v>46</v>
      </c>
      <c r="G38" s="20">
        <f>COUNTIF(Table1[Web Crawling / Scraping],1)</f>
        <v>26</v>
      </c>
      <c r="H38" s="21">
        <f>G38/K$4</f>
        <v>0.18309859154929578</v>
      </c>
      <c r="I38" s="108"/>
      <c r="J38" s="109"/>
    </row>
    <row r="39" spans="1:10" ht="14.5" x14ac:dyDescent="0.35">
      <c r="A39" s="107"/>
      <c r="B39" s="107"/>
      <c r="C39" s="39">
        <v>2021</v>
      </c>
      <c r="D39" s="26">
        <f>COUNTIF(Table1[Year Published],2021)</f>
        <v>36</v>
      </c>
      <c r="E39" s="27">
        <f t="shared" si="3"/>
        <v>0.25352112676056338</v>
      </c>
      <c r="F39" s="39" t="s">
        <v>44</v>
      </c>
      <c r="G39" s="26">
        <f>COUNTIF(Table1[Other],1)</f>
        <v>60</v>
      </c>
      <c r="H39" s="27">
        <f t="shared" si="1"/>
        <v>0.42253521126760563</v>
      </c>
      <c r="I39" s="108"/>
      <c r="J39" s="109"/>
    </row>
    <row r="40" spans="1:10" ht="14.5" x14ac:dyDescent="0.35">
      <c r="A40" s="107"/>
      <c r="B40" s="107"/>
      <c r="C40" s="28"/>
      <c r="D40" s="29"/>
      <c r="E40" s="29"/>
      <c r="F40" s="29"/>
      <c r="G40" s="29"/>
      <c r="H40" s="29"/>
      <c r="I40" s="109"/>
      <c r="J40" s="109"/>
    </row>
    <row r="41" spans="1:10" x14ac:dyDescent="0.35">
      <c r="A41" s="30"/>
      <c r="B41" s="30"/>
      <c r="C41" s="29"/>
      <c r="D41" s="29"/>
      <c r="E41" s="29"/>
      <c r="F41" s="29"/>
      <c r="G41" s="29"/>
      <c r="H41" s="29"/>
      <c r="I41" s="31"/>
      <c r="J41" s="31"/>
    </row>
    <row r="42" spans="1:10" x14ac:dyDescent="0.35">
      <c r="A42" s="30"/>
      <c r="B42" s="30"/>
      <c r="C42" s="29"/>
      <c r="D42" s="29"/>
      <c r="E42" s="29"/>
      <c r="F42" s="29"/>
      <c r="G42" s="29"/>
      <c r="H42" s="29"/>
      <c r="I42" s="31"/>
      <c r="J42" s="31"/>
    </row>
    <row r="43" spans="1:10" x14ac:dyDescent="0.35">
      <c r="A43" s="31"/>
      <c r="B43" s="31"/>
      <c r="C43" s="29"/>
      <c r="D43" s="29"/>
      <c r="E43" s="29"/>
      <c r="F43" s="29"/>
      <c r="G43" s="29"/>
      <c r="H43" s="29"/>
      <c r="I43" s="31"/>
      <c r="J43" s="31"/>
    </row>
    <row r="44" spans="1:10" x14ac:dyDescent="0.35">
      <c r="A44" s="31"/>
      <c r="B44" s="31"/>
      <c r="C44" s="29"/>
      <c r="D44" s="29"/>
      <c r="E44" s="29"/>
      <c r="F44" s="29"/>
      <c r="G44" s="29"/>
      <c r="H44" s="29"/>
      <c r="I44" s="31"/>
      <c r="J44" s="31"/>
    </row>
    <row r="45" spans="1:10" x14ac:dyDescent="0.35">
      <c r="A45" s="31"/>
      <c r="B45" s="31"/>
      <c r="C45" s="32"/>
      <c r="D45" s="32"/>
      <c r="E45" s="32"/>
      <c r="F45" s="32"/>
      <c r="G45" s="32"/>
      <c r="H45" s="32"/>
      <c r="I45" s="31"/>
      <c r="J45" s="31"/>
    </row>
    <row r="46" spans="1:10" x14ac:dyDescent="0.35">
      <c r="A46" s="31"/>
      <c r="B46" s="31"/>
      <c r="C46" s="32"/>
      <c r="D46" s="32"/>
      <c r="E46" s="32"/>
      <c r="F46" s="32"/>
      <c r="G46" s="32"/>
      <c r="H46" s="32"/>
      <c r="I46" s="31"/>
      <c r="J46" s="31"/>
    </row>
    <row r="47" spans="1:10" x14ac:dyDescent="0.35">
      <c r="A47" s="31"/>
      <c r="B47" s="31"/>
      <c r="C47" s="32"/>
      <c r="D47" s="32"/>
      <c r="E47" s="32"/>
      <c r="F47" s="32"/>
      <c r="G47" s="32"/>
      <c r="H47" s="32"/>
      <c r="I47" s="31"/>
      <c r="J47" s="31"/>
    </row>
    <row r="48" spans="1:10" x14ac:dyDescent="0.35">
      <c r="C48" s="33"/>
      <c r="D48" s="33"/>
      <c r="E48" s="33"/>
      <c r="F48" s="33"/>
      <c r="G48" s="33"/>
      <c r="H48" s="33"/>
    </row>
    <row r="49" spans="3:8" x14ac:dyDescent="0.35">
      <c r="C49" s="33"/>
      <c r="D49" s="33"/>
      <c r="E49" s="33"/>
      <c r="F49" s="33"/>
      <c r="G49" s="33"/>
      <c r="H49" s="33"/>
    </row>
    <row r="50" spans="3:8" x14ac:dyDescent="0.35">
      <c r="C50" s="33"/>
      <c r="D50" s="33"/>
      <c r="E50" s="33"/>
      <c r="F50" s="33"/>
      <c r="G50" s="33"/>
      <c r="H50" s="33"/>
    </row>
    <row r="51" spans="3:8" x14ac:dyDescent="0.35">
      <c r="C51" s="33"/>
      <c r="D51" s="33"/>
      <c r="E51" s="33"/>
      <c r="F51" s="33"/>
      <c r="G51" s="33"/>
      <c r="H51" s="33"/>
    </row>
    <row r="52" spans="3:8" x14ac:dyDescent="0.35">
      <c r="C52" s="33"/>
      <c r="D52" s="33"/>
      <c r="E52" s="33"/>
      <c r="F52" s="33"/>
      <c r="G52" s="33"/>
      <c r="H52" s="33"/>
    </row>
    <row r="53" spans="3:8" x14ac:dyDescent="0.35">
      <c r="C53" s="33"/>
      <c r="D53" s="33"/>
      <c r="E53" s="33"/>
      <c r="F53" s="25"/>
      <c r="G53" s="25"/>
      <c r="H53" s="34"/>
    </row>
    <row r="54" spans="3:8" x14ac:dyDescent="0.35">
      <c r="C54" s="25"/>
      <c r="D54" s="25"/>
      <c r="E54" s="34"/>
      <c r="F54" s="25"/>
      <c r="G54" s="25"/>
      <c r="H54" s="34"/>
    </row>
    <row r="55" spans="3:8" x14ac:dyDescent="0.35">
      <c r="C55" s="25"/>
      <c r="D55" s="25"/>
      <c r="E55" s="34"/>
      <c r="F55" s="25"/>
      <c r="G55" s="25"/>
      <c r="H55" s="34"/>
    </row>
    <row r="56" spans="3:8" x14ac:dyDescent="0.35">
      <c r="C56" s="25"/>
      <c r="D56" s="25"/>
      <c r="E56" s="34"/>
      <c r="F56" s="25"/>
      <c r="G56" s="25"/>
      <c r="H56" s="34"/>
    </row>
    <row r="57" spans="3:8" x14ac:dyDescent="0.35">
      <c r="C57" s="25"/>
      <c r="D57" s="25"/>
      <c r="E57" s="34"/>
      <c r="F57" s="25"/>
      <c r="G57" s="25"/>
      <c r="H57" s="34"/>
    </row>
    <row r="58" spans="3:8" x14ac:dyDescent="0.35">
      <c r="C58" s="25"/>
      <c r="D58" s="25"/>
      <c r="E58" s="34"/>
      <c r="F58" s="25"/>
      <c r="G58" s="25"/>
      <c r="H58" s="34"/>
    </row>
    <row r="59" spans="3:8" x14ac:dyDescent="0.35">
      <c r="C59" s="25"/>
      <c r="D59" s="25"/>
      <c r="E59" s="34"/>
      <c r="F59" s="25"/>
      <c r="G59" s="25"/>
      <c r="H59" s="34"/>
    </row>
    <row r="60" spans="3:8" x14ac:dyDescent="0.35">
      <c r="C60" s="25"/>
      <c r="D60" s="25"/>
      <c r="E60" s="34"/>
      <c r="F60" s="25"/>
      <c r="G60" s="25"/>
      <c r="H60" s="34"/>
    </row>
    <row r="61" spans="3:8" x14ac:dyDescent="0.35">
      <c r="C61" s="25"/>
      <c r="D61" s="25"/>
      <c r="E61" s="34"/>
    </row>
    <row r="1048174" spans="6:6" x14ac:dyDescent="0.35">
      <c r="F1048174" s="37"/>
    </row>
  </sheetData>
  <sheetProtection sheet="1" objects="1" scenarios="1"/>
  <mergeCells count="3">
    <mergeCell ref="A1:J2"/>
    <mergeCell ref="A3:B40"/>
    <mergeCell ref="I3:J40"/>
  </mergeCells>
  <conditionalFormatting sqref="E4:E6">
    <cfRule type="colorScale" priority="6">
      <colorScale>
        <cfvo type="min"/>
        <cfvo type="percentile" val="50"/>
        <cfvo type="max"/>
        <color rgb="FFF8696B"/>
        <color rgb="FFFFEB84"/>
        <color rgb="FF63BE7B"/>
      </colorScale>
    </cfRule>
  </conditionalFormatting>
  <conditionalFormatting sqref="E21:E26">
    <cfRule type="colorScale" priority="5">
      <colorScale>
        <cfvo type="min"/>
        <cfvo type="percentile" val="50"/>
        <cfvo type="max"/>
        <color rgb="FFF8696B"/>
        <color rgb="FFFFEB84"/>
        <color rgb="FF63BE7B"/>
      </colorScale>
    </cfRule>
  </conditionalFormatting>
  <conditionalFormatting sqref="E28:E39">
    <cfRule type="colorScale" priority="4">
      <colorScale>
        <cfvo type="min"/>
        <cfvo type="percentile" val="50"/>
        <cfvo type="max"/>
        <color rgb="FFF8696B"/>
        <color rgb="FFFFEB84"/>
        <color rgb="FF63BE7B"/>
      </colorScale>
    </cfRule>
  </conditionalFormatting>
  <conditionalFormatting sqref="H13:H17">
    <cfRule type="colorScale" priority="3">
      <colorScale>
        <cfvo type="min"/>
        <cfvo type="percentile" val="50"/>
        <cfvo type="max"/>
        <color rgb="FFF8696B"/>
        <color rgb="FFFFEB84"/>
        <color rgb="FF63BE7B"/>
      </colorScale>
    </cfRule>
  </conditionalFormatting>
  <conditionalFormatting sqref="H8:H11">
    <cfRule type="colorScale" priority="2">
      <colorScale>
        <cfvo type="min"/>
        <cfvo type="percentile" val="50"/>
        <cfvo type="max"/>
        <color rgb="FFF8696B"/>
        <color rgb="FFFFEB84"/>
        <color rgb="FF63BE7B"/>
      </colorScale>
    </cfRule>
  </conditionalFormatting>
  <conditionalFormatting sqref="H4:H6">
    <cfRule type="colorScale" priority="1">
      <colorScale>
        <cfvo type="min"/>
        <cfvo type="percentile" val="50"/>
        <cfvo type="max"/>
        <color rgb="FFF8696B"/>
        <color rgb="FFFFEB84"/>
        <color rgb="FF63BE7B"/>
      </colorScale>
    </cfRule>
  </conditionalFormatting>
  <conditionalFormatting sqref="E13:E19">
    <cfRule type="colorScale" priority="7">
      <colorScale>
        <cfvo type="min"/>
        <cfvo type="percentile" val="50"/>
        <cfvo type="max"/>
        <color rgb="FFF8696B"/>
        <color rgb="FFFFEB84"/>
        <color rgb="FF63BE7B"/>
      </colorScale>
    </cfRule>
  </conditionalFormatting>
  <conditionalFormatting sqref="E8:E11">
    <cfRule type="colorScale" priority="8">
      <colorScale>
        <cfvo type="min"/>
        <cfvo type="percentile" val="50"/>
        <cfvo type="max"/>
        <color rgb="FFF8696B"/>
        <color rgb="FFFFEB84"/>
        <color rgb="FF63BE7B"/>
      </colorScale>
    </cfRule>
  </conditionalFormatting>
  <conditionalFormatting sqref="H19:H39">
    <cfRule type="colorScale" priority="9">
      <colorScale>
        <cfvo type="min"/>
        <cfvo type="percentile" val="50"/>
        <cfvo type="max"/>
        <color rgb="FFF8696B"/>
        <color rgb="FFFFEB84"/>
        <color rgb="FF63BE7B"/>
      </colorScale>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W143"/>
  <sheetViews>
    <sheetView workbookViewId="0"/>
  </sheetViews>
  <sheetFormatPr defaultRowHeight="14.5" x14ac:dyDescent="0.35"/>
  <cols>
    <col min="1" max="1" width="27.81640625" customWidth="1"/>
    <col min="2" max="2" width="9.453125" customWidth="1"/>
    <col min="3" max="3" width="8.81640625" customWidth="1"/>
    <col min="5" max="5" width="15.90625" customWidth="1"/>
    <col min="6" max="6" width="9.36328125" customWidth="1"/>
    <col min="7" max="7" width="26.26953125" customWidth="1"/>
    <col min="8" max="9" width="15" customWidth="1"/>
    <col min="10" max="10" width="8.81640625" customWidth="1"/>
    <col min="13" max="13" width="17.81640625" customWidth="1"/>
    <col min="14" max="14" width="22" customWidth="1"/>
    <col min="15" max="15" width="12" customWidth="1"/>
    <col min="16" max="16" width="11.6328125" customWidth="1"/>
    <col min="17" max="17" width="11.7265625" customWidth="1"/>
    <col min="18" max="18" width="12.6328125" customWidth="1"/>
    <col min="19" max="19" width="11.26953125" customWidth="1"/>
    <col min="20" max="20" width="14.453125" customWidth="1"/>
    <col min="21" max="21" width="18.26953125" customWidth="1"/>
    <col min="22" max="22" width="13.54296875" customWidth="1"/>
    <col min="23" max="23" width="17" customWidth="1"/>
    <col min="24" max="24" width="19.1796875" customWidth="1"/>
    <col min="25" max="25" width="29.36328125" customWidth="1"/>
    <col min="26" max="26" width="10.26953125" customWidth="1"/>
    <col min="27" max="27" width="25.54296875" customWidth="1"/>
    <col min="28" max="28" width="20.36328125" customWidth="1"/>
    <col min="29" max="29" width="20.54296875" customWidth="1"/>
    <col min="30" max="30" width="15.7265625" customWidth="1"/>
    <col min="31" max="31" width="16.08984375" customWidth="1"/>
    <col min="32" max="32" width="11.7265625" customWidth="1"/>
    <col min="33" max="33" width="23.7265625" customWidth="1"/>
    <col min="34" max="34" width="17.6328125" customWidth="1"/>
    <col min="35" max="35" width="15.453125" customWidth="1"/>
    <col min="36" max="36" width="19.26953125" customWidth="1"/>
    <col min="37" max="37" width="14.54296875" customWidth="1"/>
    <col min="38" max="38" width="31.90625" customWidth="1"/>
    <col min="39" max="39" width="24.81640625" customWidth="1"/>
    <col min="40" max="40" width="42.1796875" customWidth="1"/>
    <col min="41" max="41" width="26.6328125" customWidth="1"/>
    <col min="42" max="42" width="21.90625" customWidth="1"/>
    <col min="43" max="43" width="19.36328125" customWidth="1"/>
    <col min="44" max="44" width="14" customWidth="1"/>
    <col min="46" max="46" width="23.26953125" customWidth="1"/>
    <col min="47" max="48" width="23.08984375" customWidth="1"/>
    <col min="49" max="49" width="15.1796875" customWidth="1"/>
  </cols>
  <sheetData>
    <row r="1" spans="1:49"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c r="AI1" t="s">
        <v>34</v>
      </c>
      <c r="AJ1" t="s">
        <v>35</v>
      </c>
      <c r="AK1" t="s">
        <v>36</v>
      </c>
      <c r="AL1" t="s">
        <v>37</v>
      </c>
      <c r="AM1" t="s">
        <v>38</v>
      </c>
      <c r="AN1" t="s">
        <v>39</v>
      </c>
      <c r="AO1" t="s">
        <v>40</v>
      </c>
      <c r="AP1" t="s">
        <v>41</v>
      </c>
      <c r="AQ1" t="s">
        <v>42</v>
      </c>
      <c r="AR1" t="s">
        <v>43</v>
      </c>
      <c r="AS1" t="s">
        <v>44</v>
      </c>
      <c r="AT1" t="s">
        <v>45</v>
      </c>
      <c r="AU1" t="s">
        <v>46</v>
      </c>
      <c r="AV1" t="s">
        <v>52</v>
      </c>
      <c r="AW1" t="s">
        <v>47</v>
      </c>
    </row>
    <row r="2" spans="1:49" x14ac:dyDescent="0.35">
      <c r="A2" t="s">
        <v>48</v>
      </c>
      <c r="B2" t="s">
        <v>49</v>
      </c>
      <c r="C2">
        <v>0</v>
      </c>
      <c r="D2">
        <v>0</v>
      </c>
      <c r="E2">
        <v>0</v>
      </c>
      <c r="F2">
        <v>0</v>
      </c>
      <c r="G2">
        <v>1</v>
      </c>
      <c r="H2">
        <v>1</v>
      </c>
      <c r="I2">
        <v>1</v>
      </c>
      <c r="J2">
        <v>1</v>
      </c>
      <c r="K2">
        <v>1</v>
      </c>
      <c r="L2">
        <v>1</v>
      </c>
      <c r="M2">
        <v>0</v>
      </c>
      <c r="N2">
        <v>0</v>
      </c>
      <c r="O2">
        <v>1</v>
      </c>
      <c r="P2">
        <v>0</v>
      </c>
      <c r="Q2">
        <v>0</v>
      </c>
      <c r="R2">
        <v>0</v>
      </c>
      <c r="S2" t="s">
        <v>50</v>
      </c>
      <c r="T2">
        <v>0</v>
      </c>
      <c r="U2">
        <v>0</v>
      </c>
      <c r="V2">
        <v>0</v>
      </c>
      <c r="W2">
        <v>0</v>
      </c>
      <c r="X2">
        <v>1</v>
      </c>
      <c r="Y2">
        <v>0</v>
      </c>
      <c r="Z2" t="s">
        <v>231</v>
      </c>
      <c r="AA2">
        <v>0</v>
      </c>
      <c r="AB2">
        <v>0</v>
      </c>
      <c r="AC2">
        <v>0</v>
      </c>
      <c r="AD2">
        <v>0</v>
      </c>
      <c r="AE2">
        <v>0</v>
      </c>
      <c r="AF2">
        <v>0</v>
      </c>
      <c r="AG2">
        <v>0</v>
      </c>
      <c r="AH2">
        <v>0</v>
      </c>
      <c r="AI2">
        <v>0</v>
      </c>
      <c r="AJ2">
        <v>0</v>
      </c>
      <c r="AK2">
        <v>0</v>
      </c>
      <c r="AL2">
        <v>0</v>
      </c>
      <c r="AM2">
        <v>0</v>
      </c>
      <c r="AN2">
        <v>0</v>
      </c>
      <c r="AO2">
        <v>0</v>
      </c>
      <c r="AP2">
        <v>0</v>
      </c>
      <c r="AQ2">
        <v>0</v>
      </c>
      <c r="AR2">
        <v>0</v>
      </c>
      <c r="AS2">
        <v>1</v>
      </c>
      <c r="AT2">
        <v>0</v>
      </c>
      <c r="AU2">
        <v>0</v>
      </c>
      <c r="AV2">
        <v>0</v>
      </c>
      <c r="AW2">
        <v>2018</v>
      </c>
    </row>
    <row r="3" spans="1:49" x14ac:dyDescent="0.35">
      <c r="A3" t="s">
        <v>51</v>
      </c>
      <c r="B3" t="s">
        <v>49</v>
      </c>
      <c r="C3">
        <v>0</v>
      </c>
      <c r="D3">
        <v>0</v>
      </c>
      <c r="E3">
        <v>0</v>
      </c>
      <c r="F3">
        <v>0</v>
      </c>
      <c r="G3">
        <v>1</v>
      </c>
      <c r="H3">
        <v>0</v>
      </c>
      <c r="I3">
        <v>0</v>
      </c>
      <c r="J3">
        <v>0</v>
      </c>
      <c r="K3">
        <v>0</v>
      </c>
      <c r="L3">
        <v>1</v>
      </c>
      <c r="M3">
        <v>0</v>
      </c>
      <c r="N3">
        <v>0</v>
      </c>
      <c r="O3">
        <v>0</v>
      </c>
      <c r="P3">
        <v>0</v>
      </c>
      <c r="Q3">
        <v>1</v>
      </c>
      <c r="R3">
        <v>1</v>
      </c>
      <c r="S3" t="s">
        <v>52</v>
      </c>
      <c r="T3">
        <v>0</v>
      </c>
      <c r="U3">
        <v>0</v>
      </c>
      <c r="V3">
        <v>0</v>
      </c>
      <c r="W3">
        <v>1</v>
      </c>
      <c r="X3">
        <v>0</v>
      </c>
      <c r="Y3">
        <v>0</v>
      </c>
      <c r="Z3" t="s">
        <v>231</v>
      </c>
      <c r="AA3">
        <v>0</v>
      </c>
      <c r="AB3">
        <v>0</v>
      </c>
      <c r="AC3">
        <v>0</v>
      </c>
      <c r="AD3">
        <v>0</v>
      </c>
      <c r="AE3">
        <v>0</v>
      </c>
      <c r="AF3">
        <v>0</v>
      </c>
      <c r="AG3">
        <v>0</v>
      </c>
      <c r="AH3">
        <v>0</v>
      </c>
      <c r="AI3">
        <v>0</v>
      </c>
      <c r="AJ3">
        <v>0</v>
      </c>
      <c r="AK3">
        <v>0</v>
      </c>
      <c r="AL3">
        <v>0</v>
      </c>
      <c r="AM3">
        <v>0</v>
      </c>
      <c r="AN3">
        <v>0</v>
      </c>
      <c r="AO3">
        <v>0</v>
      </c>
      <c r="AP3">
        <v>0</v>
      </c>
      <c r="AQ3">
        <v>0</v>
      </c>
      <c r="AR3">
        <v>0</v>
      </c>
      <c r="AS3">
        <v>1</v>
      </c>
      <c r="AT3">
        <v>0</v>
      </c>
      <c r="AU3">
        <v>0</v>
      </c>
      <c r="AV3">
        <v>0</v>
      </c>
      <c r="AW3">
        <v>2021</v>
      </c>
    </row>
    <row r="4" spans="1:49" x14ac:dyDescent="0.35">
      <c r="A4" t="s">
        <v>53</v>
      </c>
      <c r="B4" t="s">
        <v>49</v>
      </c>
      <c r="C4">
        <v>0</v>
      </c>
      <c r="D4">
        <v>0</v>
      </c>
      <c r="E4">
        <v>0</v>
      </c>
      <c r="F4">
        <v>0</v>
      </c>
      <c r="G4">
        <v>1</v>
      </c>
      <c r="H4">
        <v>0</v>
      </c>
      <c r="I4">
        <v>0</v>
      </c>
      <c r="J4">
        <v>0</v>
      </c>
      <c r="K4">
        <v>1</v>
      </c>
      <c r="L4">
        <v>0</v>
      </c>
      <c r="M4">
        <v>0</v>
      </c>
      <c r="N4">
        <v>0</v>
      </c>
      <c r="O4">
        <v>1</v>
      </c>
      <c r="P4">
        <v>1</v>
      </c>
      <c r="Q4">
        <v>0</v>
      </c>
      <c r="R4">
        <v>0</v>
      </c>
      <c r="S4" t="s">
        <v>50</v>
      </c>
      <c r="T4">
        <v>1</v>
      </c>
      <c r="U4">
        <v>0</v>
      </c>
      <c r="V4">
        <v>0</v>
      </c>
      <c r="W4">
        <v>0</v>
      </c>
      <c r="X4">
        <v>0</v>
      </c>
      <c r="Y4">
        <v>0</v>
      </c>
      <c r="Z4" t="s">
        <v>231</v>
      </c>
      <c r="AA4">
        <v>0</v>
      </c>
      <c r="AB4">
        <v>0</v>
      </c>
      <c r="AC4">
        <v>0</v>
      </c>
      <c r="AD4">
        <v>0</v>
      </c>
      <c r="AE4">
        <v>0</v>
      </c>
      <c r="AF4">
        <v>0</v>
      </c>
      <c r="AG4">
        <v>0</v>
      </c>
      <c r="AH4">
        <v>0</v>
      </c>
      <c r="AI4">
        <v>0</v>
      </c>
      <c r="AJ4">
        <v>1</v>
      </c>
      <c r="AK4">
        <v>0</v>
      </c>
      <c r="AL4">
        <v>0</v>
      </c>
      <c r="AM4">
        <v>0</v>
      </c>
      <c r="AN4">
        <v>0</v>
      </c>
      <c r="AO4">
        <v>0</v>
      </c>
      <c r="AP4">
        <v>0</v>
      </c>
      <c r="AQ4">
        <v>0</v>
      </c>
      <c r="AR4">
        <v>0</v>
      </c>
      <c r="AS4">
        <v>0</v>
      </c>
      <c r="AT4">
        <v>1</v>
      </c>
      <c r="AU4">
        <v>0</v>
      </c>
      <c r="AV4">
        <v>0</v>
      </c>
      <c r="AW4">
        <v>2019</v>
      </c>
    </row>
    <row r="5" spans="1:49" x14ac:dyDescent="0.35">
      <c r="A5" t="s">
        <v>54</v>
      </c>
      <c r="B5" t="s">
        <v>49</v>
      </c>
      <c r="C5">
        <v>0</v>
      </c>
      <c r="D5">
        <v>0</v>
      </c>
      <c r="E5">
        <v>0</v>
      </c>
      <c r="F5">
        <v>0</v>
      </c>
      <c r="G5">
        <v>1</v>
      </c>
      <c r="H5">
        <v>0</v>
      </c>
      <c r="I5">
        <v>0</v>
      </c>
      <c r="J5">
        <v>0</v>
      </c>
      <c r="K5">
        <v>0</v>
      </c>
      <c r="L5">
        <v>0</v>
      </c>
      <c r="M5">
        <v>0</v>
      </c>
      <c r="N5">
        <v>1</v>
      </c>
      <c r="O5">
        <v>0</v>
      </c>
      <c r="P5">
        <v>1</v>
      </c>
      <c r="Q5">
        <v>1</v>
      </c>
      <c r="R5">
        <v>0</v>
      </c>
      <c r="S5" t="s">
        <v>50</v>
      </c>
      <c r="T5">
        <v>1</v>
      </c>
      <c r="U5">
        <v>0</v>
      </c>
      <c r="V5">
        <v>0</v>
      </c>
      <c r="W5">
        <v>0</v>
      </c>
      <c r="X5">
        <v>0</v>
      </c>
      <c r="Y5">
        <v>0</v>
      </c>
      <c r="Z5" t="s">
        <v>231</v>
      </c>
      <c r="AA5">
        <v>0</v>
      </c>
      <c r="AB5">
        <v>0</v>
      </c>
      <c r="AC5">
        <v>0</v>
      </c>
      <c r="AD5">
        <v>0</v>
      </c>
      <c r="AE5">
        <v>0</v>
      </c>
      <c r="AF5">
        <v>0</v>
      </c>
      <c r="AG5">
        <v>0</v>
      </c>
      <c r="AH5">
        <v>0</v>
      </c>
      <c r="AI5">
        <v>0</v>
      </c>
      <c r="AJ5">
        <v>1</v>
      </c>
      <c r="AK5">
        <v>0</v>
      </c>
      <c r="AL5">
        <v>0</v>
      </c>
      <c r="AM5">
        <v>0</v>
      </c>
      <c r="AN5">
        <v>0</v>
      </c>
      <c r="AO5">
        <v>0</v>
      </c>
      <c r="AP5">
        <v>0</v>
      </c>
      <c r="AQ5">
        <v>0</v>
      </c>
      <c r="AR5">
        <v>0</v>
      </c>
      <c r="AS5">
        <v>0</v>
      </c>
      <c r="AT5">
        <v>1</v>
      </c>
      <c r="AU5">
        <v>0</v>
      </c>
      <c r="AV5">
        <v>0</v>
      </c>
      <c r="AW5">
        <v>2021</v>
      </c>
    </row>
    <row r="6" spans="1:49" x14ac:dyDescent="0.35">
      <c r="A6" t="s">
        <v>55</v>
      </c>
      <c r="B6" t="s">
        <v>56</v>
      </c>
      <c r="C6">
        <v>0</v>
      </c>
      <c r="D6">
        <v>0</v>
      </c>
      <c r="E6">
        <v>0</v>
      </c>
      <c r="F6">
        <v>0</v>
      </c>
      <c r="G6">
        <v>1</v>
      </c>
      <c r="H6">
        <v>1</v>
      </c>
      <c r="I6">
        <v>0</v>
      </c>
      <c r="J6">
        <v>0</v>
      </c>
      <c r="K6">
        <v>0</v>
      </c>
      <c r="L6">
        <v>0</v>
      </c>
      <c r="M6">
        <v>0</v>
      </c>
      <c r="N6">
        <v>0</v>
      </c>
      <c r="O6">
        <v>0</v>
      </c>
      <c r="P6">
        <v>0</v>
      </c>
      <c r="Q6">
        <v>1</v>
      </c>
      <c r="R6">
        <v>0</v>
      </c>
      <c r="S6" t="s">
        <v>50</v>
      </c>
      <c r="T6">
        <v>0</v>
      </c>
      <c r="U6">
        <v>0</v>
      </c>
      <c r="V6">
        <v>0</v>
      </c>
      <c r="W6">
        <v>1</v>
      </c>
      <c r="X6">
        <v>0</v>
      </c>
      <c r="Y6">
        <v>1</v>
      </c>
      <c r="Z6" t="s">
        <v>231</v>
      </c>
      <c r="AA6">
        <v>0</v>
      </c>
      <c r="AB6">
        <v>0</v>
      </c>
      <c r="AC6">
        <v>0</v>
      </c>
      <c r="AD6">
        <v>0</v>
      </c>
      <c r="AE6">
        <v>0</v>
      </c>
      <c r="AF6">
        <v>0</v>
      </c>
      <c r="AG6">
        <v>0</v>
      </c>
      <c r="AH6">
        <v>0</v>
      </c>
      <c r="AI6">
        <v>0</v>
      </c>
      <c r="AJ6">
        <v>0</v>
      </c>
      <c r="AK6">
        <v>0</v>
      </c>
      <c r="AL6">
        <v>1</v>
      </c>
      <c r="AM6">
        <v>1</v>
      </c>
      <c r="AN6">
        <v>1</v>
      </c>
      <c r="AO6">
        <v>0</v>
      </c>
      <c r="AP6">
        <v>0</v>
      </c>
      <c r="AQ6">
        <v>0</v>
      </c>
      <c r="AR6">
        <v>0</v>
      </c>
      <c r="AS6">
        <v>1</v>
      </c>
      <c r="AT6">
        <v>0</v>
      </c>
      <c r="AU6">
        <v>1</v>
      </c>
      <c r="AV6">
        <v>0</v>
      </c>
      <c r="AW6">
        <v>2016</v>
      </c>
    </row>
    <row r="7" spans="1:49" x14ac:dyDescent="0.35">
      <c r="A7" t="s">
        <v>57</v>
      </c>
      <c r="B7" t="s">
        <v>56</v>
      </c>
      <c r="C7">
        <v>0</v>
      </c>
      <c r="D7">
        <v>0</v>
      </c>
      <c r="E7">
        <v>0</v>
      </c>
      <c r="F7">
        <v>0</v>
      </c>
      <c r="G7">
        <v>1</v>
      </c>
      <c r="H7">
        <v>1</v>
      </c>
      <c r="I7">
        <v>0</v>
      </c>
      <c r="J7">
        <v>0</v>
      </c>
      <c r="K7">
        <v>0</v>
      </c>
      <c r="L7">
        <v>0</v>
      </c>
      <c r="M7">
        <v>0</v>
      </c>
      <c r="N7">
        <v>0</v>
      </c>
      <c r="O7">
        <v>0</v>
      </c>
      <c r="P7">
        <v>0</v>
      </c>
      <c r="Q7">
        <v>1</v>
      </c>
      <c r="R7">
        <v>0</v>
      </c>
      <c r="S7" t="s">
        <v>50</v>
      </c>
      <c r="T7">
        <v>0</v>
      </c>
      <c r="U7">
        <v>0</v>
      </c>
      <c r="V7">
        <v>0</v>
      </c>
      <c r="W7">
        <v>1</v>
      </c>
      <c r="X7">
        <v>0</v>
      </c>
      <c r="Y7">
        <v>1</v>
      </c>
      <c r="Z7" t="s">
        <v>231</v>
      </c>
      <c r="AA7">
        <v>0</v>
      </c>
      <c r="AB7">
        <v>0</v>
      </c>
      <c r="AC7">
        <v>0</v>
      </c>
      <c r="AD7">
        <v>0</v>
      </c>
      <c r="AE7">
        <v>0</v>
      </c>
      <c r="AF7">
        <v>0</v>
      </c>
      <c r="AG7">
        <v>0</v>
      </c>
      <c r="AH7">
        <v>0</v>
      </c>
      <c r="AI7">
        <v>0</v>
      </c>
      <c r="AJ7">
        <v>0</v>
      </c>
      <c r="AK7">
        <v>0</v>
      </c>
      <c r="AL7">
        <v>1</v>
      </c>
      <c r="AM7">
        <v>1</v>
      </c>
      <c r="AN7">
        <v>1</v>
      </c>
      <c r="AO7">
        <v>0</v>
      </c>
      <c r="AP7">
        <v>0</v>
      </c>
      <c r="AQ7">
        <v>0</v>
      </c>
      <c r="AR7">
        <v>0</v>
      </c>
      <c r="AS7">
        <v>0</v>
      </c>
      <c r="AT7">
        <v>0</v>
      </c>
      <c r="AU7">
        <v>0</v>
      </c>
      <c r="AV7">
        <v>0</v>
      </c>
      <c r="AW7">
        <v>2017</v>
      </c>
    </row>
    <row r="8" spans="1:49" x14ac:dyDescent="0.35">
      <c r="A8" t="s">
        <v>58</v>
      </c>
      <c r="B8" t="s">
        <v>49</v>
      </c>
      <c r="C8">
        <v>0</v>
      </c>
      <c r="D8">
        <v>0</v>
      </c>
      <c r="E8">
        <v>0</v>
      </c>
      <c r="F8">
        <v>0</v>
      </c>
      <c r="G8">
        <v>1</v>
      </c>
      <c r="H8">
        <v>0</v>
      </c>
      <c r="I8">
        <v>0</v>
      </c>
      <c r="J8">
        <v>0</v>
      </c>
      <c r="K8">
        <v>0</v>
      </c>
      <c r="L8">
        <v>0</v>
      </c>
      <c r="M8">
        <v>0</v>
      </c>
      <c r="N8">
        <v>1</v>
      </c>
      <c r="O8">
        <v>0</v>
      </c>
      <c r="P8">
        <v>1</v>
      </c>
      <c r="Q8">
        <v>1</v>
      </c>
      <c r="R8">
        <v>1</v>
      </c>
      <c r="S8" t="s">
        <v>52</v>
      </c>
      <c r="T8">
        <v>1</v>
      </c>
      <c r="U8">
        <v>0</v>
      </c>
      <c r="V8">
        <v>0</v>
      </c>
      <c r="W8">
        <v>1</v>
      </c>
      <c r="X8">
        <v>0</v>
      </c>
      <c r="Y8">
        <v>0</v>
      </c>
      <c r="Z8" t="s">
        <v>232</v>
      </c>
      <c r="AA8">
        <v>0</v>
      </c>
      <c r="AB8">
        <v>0</v>
      </c>
      <c r="AC8">
        <v>0</v>
      </c>
      <c r="AD8">
        <v>0</v>
      </c>
      <c r="AE8">
        <v>0</v>
      </c>
      <c r="AF8">
        <v>1</v>
      </c>
      <c r="AG8">
        <v>1</v>
      </c>
      <c r="AH8">
        <v>0</v>
      </c>
      <c r="AI8">
        <v>0</v>
      </c>
      <c r="AJ8">
        <v>0</v>
      </c>
      <c r="AK8">
        <v>0</v>
      </c>
      <c r="AL8">
        <v>1</v>
      </c>
      <c r="AM8">
        <v>0</v>
      </c>
      <c r="AN8">
        <v>0</v>
      </c>
      <c r="AO8">
        <v>0</v>
      </c>
      <c r="AP8">
        <v>0</v>
      </c>
      <c r="AQ8">
        <v>0</v>
      </c>
      <c r="AR8">
        <v>0</v>
      </c>
      <c r="AS8">
        <v>0</v>
      </c>
      <c r="AT8">
        <v>0</v>
      </c>
      <c r="AU8">
        <v>0</v>
      </c>
      <c r="AV8">
        <v>0</v>
      </c>
      <c r="AW8">
        <v>2010</v>
      </c>
    </row>
    <row r="9" spans="1:49" x14ac:dyDescent="0.35">
      <c r="A9" t="s">
        <v>59</v>
      </c>
      <c r="B9" t="s">
        <v>49</v>
      </c>
      <c r="C9">
        <v>0</v>
      </c>
      <c r="D9">
        <v>0</v>
      </c>
      <c r="E9">
        <v>0</v>
      </c>
      <c r="F9">
        <v>0</v>
      </c>
      <c r="G9">
        <v>1</v>
      </c>
      <c r="H9">
        <v>0</v>
      </c>
      <c r="I9">
        <v>0</v>
      </c>
      <c r="J9">
        <v>0</v>
      </c>
      <c r="K9">
        <v>0</v>
      </c>
      <c r="L9">
        <v>0</v>
      </c>
      <c r="M9">
        <v>0</v>
      </c>
      <c r="N9">
        <v>1</v>
      </c>
      <c r="O9">
        <v>0</v>
      </c>
      <c r="P9">
        <v>0</v>
      </c>
      <c r="Q9">
        <v>1</v>
      </c>
      <c r="R9">
        <v>1</v>
      </c>
      <c r="S9" t="s">
        <v>50</v>
      </c>
      <c r="T9">
        <v>0</v>
      </c>
      <c r="U9">
        <v>0</v>
      </c>
      <c r="V9">
        <v>0</v>
      </c>
      <c r="W9">
        <v>1</v>
      </c>
      <c r="X9">
        <v>0</v>
      </c>
      <c r="Y9">
        <v>1</v>
      </c>
      <c r="Z9" t="s">
        <v>231</v>
      </c>
      <c r="AA9">
        <v>0</v>
      </c>
      <c r="AB9">
        <v>0</v>
      </c>
      <c r="AC9">
        <v>0</v>
      </c>
      <c r="AD9">
        <v>0</v>
      </c>
      <c r="AE9">
        <v>0</v>
      </c>
      <c r="AF9">
        <v>0</v>
      </c>
      <c r="AG9">
        <v>0</v>
      </c>
      <c r="AH9">
        <v>0</v>
      </c>
      <c r="AI9">
        <v>0</v>
      </c>
      <c r="AJ9">
        <v>0</v>
      </c>
      <c r="AK9">
        <v>0</v>
      </c>
      <c r="AL9">
        <v>1</v>
      </c>
      <c r="AM9">
        <v>1</v>
      </c>
      <c r="AN9">
        <v>0</v>
      </c>
      <c r="AO9">
        <v>1</v>
      </c>
      <c r="AP9">
        <v>0</v>
      </c>
      <c r="AQ9">
        <v>0</v>
      </c>
      <c r="AR9">
        <v>0</v>
      </c>
      <c r="AS9">
        <v>1</v>
      </c>
      <c r="AT9">
        <v>0</v>
      </c>
      <c r="AU9">
        <v>1</v>
      </c>
      <c r="AV9">
        <v>0</v>
      </c>
      <c r="AW9">
        <v>2018</v>
      </c>
    </row>
    <row r="10" spans="1:49" x14ac:dyDescent="0.35">
      <c r="A10" t="s">
        <v>60</v>
      </c>
      <c r="B10" t="s">
        <v>56</v>
      </c>
      <c r="C10">
        <v>0</v>
      </c>
      <c r="D10">
        <v>0</v>
      </c>
      <c r="E10">
        <v>0</v>
      </c>
      <c r="F10">
        <v>0</v>
      </c>
      <c r="G10">
        <v>1</v>
      </c>
      <c r="H10">
        <v>1</v>
      </c>
      <c r="I10">
        <v>0</v>
      </c>
      <c r="J10">
        <v>0</v>
      </c>
      <c r="K10">
        <v>0</v>
      </c>
      <c r="L10">
        <v>0</v>
      </c>
      <c r="M10">
        <v>0</v>
      </c>
      <c r="N10">
        <v>0</v>
      </c>
      <c r="O10">
        <v>0</v>
      </c>
      <c r="P10">
        <v>0</v>
      </c>
      <c r="Q10">
        <v>1</v>
      </c>
      <c r="R10">
        <v>0</v>
      </c>
      <c r="S10" t="s">
        <v>50</v>
      </c>
      <c r="T10">
        <v>0</v>
      </c>
      <c r="U10">
        <v>0</v>
      </c>
      <c r="V10">
        <v>0</v>
      </c>
      <c r="W10">
        <v>0</v>
      </c>
      <c r="X10">
        <v>0</v>
      </c>
      <c r="Y10">
        <v>1</v>
      </c>
      <c r="Z10" t="s">
        <v>231</v>
      </c>
      <c r="AA10">
        <v>0</v>
      </c>
      <c r="AB10">
        <v>0</v>
      </c>
      <c r="AC10">
        <v>0</v>
      </c>
      <c r="AD10">
        <v>0</v>
      </c>
      <c r="AE10">
        <v>0</v>
      </c>
      <c r="AF10">
        <v>0</v>
      </c>
      <c r="AG10">
        <v>1</v>
      </c>
      <c r="AH10">
        <v>0</v>
      </c>
      <c r="AI10">
        <v>0</v>
      </c>
      <c r="AJ10">
        <v>1</v>
      </c>
      <c r="AK10">
        <v>0</v>
      </c>
      <c r="AL10">
        <v>1</v>
      </c>
      <c r="AM10">
        <v>1</v>
      </c>
      <c r="AN10">
        <v>0</v>
      </c>
      <c r="AO10">
        <v>1</v>
      </c>
      <c r="AP10">
        <v>0</v>
      </c>
      <c r="AQ10">
        <v>0</v>
      </c>
      <c r="AR10">
        <v>0</v>
      </c>
      <c r="AS10">
        <v>0</v>
      </c>
      <c r="AT10">
        <v>0</v>
      </c>
      <c r="AU10">
        <v>1</v>
      </c>
      <c r="AV10">
        <v>0</v>
      </c>
      <c r="AW10">
        <v>2020</v>
      </c>
    </row>
    <row r="11" spans="1:49" x14ac:dyDescent="0.35">
      <c r="A11" t="s">
        <v>61</v>
      </c>
      <c r="B11" t="s">
        <v>49</v>
      </c>
      <c r="C11">
        <v>0</v>
      </c>
      <c r="D11">
        <v>0</v>
      </c>
      <c r="E11">
        <v>0</v>
      </c>
      <c r="F11">
        <v>0</v>
      </c>
      <c r="G11">
        <v>1</v>
      </c>
      <c r="H11">
        <v>0</v>
      </c>
      <c r="I11">
        <v>0</v>
      </c>
      <c r="J11">
        <v>0</v>
      </c>
      <c r="K11">
        <v>0</v>
      </c>
      <c r="L11">
        <v>0</v>
      </c>
      <c r="M11">
        <v>0</v>
      </c>
      <c r="N11">
        <v>1</v>
      </c>
      <c r="O11">
        <v>0</v>
      </c>
      <c r="P11">
        <v>1</v>
      </c>
      <c r="Q11">
        <v>1</v>
      </c>
      <c r="R11">
        <v>1</v>
      </c>
      <c r="S11" t="s">
        <v>50</v>
      </c>
      <c r="T11">
        <v>1</v>
      </c>
      <c r="U11">
        <v>0</v>
      </c>
      <c r="V11">
        <v>0</v>
      </c>
      <c r="W11">
        <v>1</v>
      </c>
      <c r="X11">
        <v>0</v>
      </c>
      <c r="Y11">
        <v>0</v>
      </c>
      <c r="Z11" t="s">
        <v>231</v>
      </c>
      <c r="AA11">
        <v>0</v>
      </c>
      <c r="AB11">
        <v>0</v>
      </c>
      <c r="AC11">
        <v>0</v>
      </c>
      <c r="AD11">
        <v>0</v>
      </c>
      <c r="AE11">
        <v>0</v>
      </c>
      <c r="AF11">
        <v>0</v>
      </c>
      <c r="AG11">
        <v>0</v>
      </c>
      <c r="AH11">
        <v>0</v>
      </c>
      <c r="AI11">
        <v>0</v>
      </c>
      <c r="AJ11">
        <v>1</v>
      </c>
      <c r="AK11">
        <v>0</v>
      </c>
      <c r="AL11">
        <v>0</v>
      </c>
      <c r="AM11">
        <v>0</v>
      </c>
      <c r="AN11">
        <v>0</v>
      </c>
      <c r="AO11">
        <v>0</v>
      </c>
      <c r="AP11">
        <v>0</v>
      </c>
      <c r="AQ11">
        <v>0</v>
      </c>
      <c r="AR11">
        <v>0</v>
      </c>
      <c r="AS11">
        <v>0</v>
      </c>
      <c r="AT11">
        <v>1</v>
      </c>
      <c r="AU11">
        <v>0</v>
      </c>
      <c r="AV11">
        <v>0</v>
      </c>
      <c r="AW11">
        <v>2021</v>
      </c>
    </row>
    <row r="12" spans="1:49" x14ac:dyDescent="0.35">
      <c r="A12" t="s">
        <v>62</v>
      </c>
      <c r="B12" t="s">
        <v>49</v>
      </c>
      <c r="C12">
        <v>0</v>
      </c>
      <c r="D12">
        <v>0</v>
      </c>
      <c r="E12">
        <v>0</v>
      </c>
      <c r="F12">
        <v>0</v>
      </c>
      <c r="G12">
        <v>1</v>
      </c>
      <c r="H12">
        <v>0</v>
      </c>
      <c r="I12">
        <v>0</v>
      </c>
      <c r="J12">
        <v>0</v>
      </c>
      <c r="K12">
        <v>1</v>
      </c>
      <c r="L12">
        <v>0</v>
      </c>
      <c r="M12">
        <v>0</v>
      </c>
      <c r="N12">
        <v>0</v>
      </c>
      <c r="O12">
        <v>0</v>
      </c>
      <c r="P12">
        <v>0</v>
      </c>
      <c r="Q12">
        <v>1</v>
      </c>
      <c r="R12">
        <v>0</v>
      </c>
      <c r="S12" t="s">
        <v>52</v>
      </c>
      <c r="T12">
        <v>0</v>
      </c>
      <c r="U12">
        <v>0</v>
      </c>
      <c r="V12">
        <v>0</v>
      </c>
      <c r="W12">
        <v>1</v>
      </c>
      <c r="X12">
        <v>0</v>
      </c>
      <c r="Y12">
        <v>0</v>
      </c>
      <c r="Z12" t="s">
        <v>230</v>
      </c>
      <c r="AA12">
        <v>0</v>
      </c>
      <c r="AB12">
        <v>0</v>
      </c>
      <c r="AC12">
        <v>0</v>
      </c>
      <c r="AD12">
        <v>0</v>
      </c>
      <c r="AE12">
        <v>0</v>
      </c>
      <c r="AF12">
        <v>0</v>
      </c>
      <c r="AG12">
        <v>0</v>
      </c>
      <c r="AH12">
        <v>0</v>
      </c>
      <c r="AI12">
        <v>0</v>
      </c>
      <c r="AJ12">
        <v>0</v>
      </c>
      <c r="AK12">
        <v>0</v>
      </c>
      <c r="AL12">
        <v>0</v>
      </c>
      <c r="AM12">
        <v>0</v>
      </c>
      <c r="AN12">
        <v>0</v>
      </c>
      <c r="AO12">
        <v>0</v>
      </c>
      <c r="AP12">
        <v>0</v>
      </c>
      <c r="AQ12">
        <v>0</v>
      </c>
      <c r="AR12">
        <v>1</v>
      </c>
      <c r="AS12">
        <v>1</v>
      </c>
      <c r="AT12">
        <v>0</v>
      </c>
      <c r="AU12">
        <v>0</v>
      </c>
      <c r="AV12">
        <v>0</v>
      </c>
      <c r="AW12">
        <v>2020</v>
      </c>
    </row>
    <row r="13" spans="1:49" x14ac:dyDescent="0.35">
      <c r="A13" t="s">
        <v>63</v>
      </c>
      <c r="B13" t="s">
        <v>49</v>
      </c>
      <c r="C13">
        <v>0</v>
      </c>
      <c r="D13">
        <v>0</v>
      </c>
      <c r="E13">
        <v>0</v>
      </c>
      <c r="F13">
        <v>0</v>
      </c>
      <c r="G13">
        <v>1</v>
      </c>
      <c r="H13">
        <v>0</v>
      </c>
      <c r="I13">
        <v>0</v>
      </c>
      <c r="J13">
        <v>0</v>
      </c>
      <c r="K13">
        <v>0</v>
      </c>
      <c r="L13">
        <v>0</v>
      </c>
      <c r="M13">
        <v>0</v>
      </c>
      <c r="N13">
        <v>1</v>
      </c>
      <c r="O13">
        <v>0</v>
      </c>
      <c r="P13">
        <v>1</v>
      </c>
      <c r="Q13">
        <v>1</v>
      </c>
      <c r="R13">
        <v>0</v>
      </c>
      <c r="S13" t="s">
        <v>50</v>
      </c>
      <c r="T13">
        <v>1</v>
      </c>
      <c r="U13">
        <v>0</v>
      </c>
      <c r="V13">
        <v>0</v>
      </c>
      <c r="W13">
        <v>0</v>
      </c>
      <c r="X13">
        <v>0</v>
      </c>
      <c r="Y13">
        <v>0</v>
      </c>
      <c r="Z13" t="s">
        <v>231</v>
      </c>
      <c r="AA13">
        <v>0</v>
      </c>
      <c r="AB13">
        <v>0</v>
      </c>
      <c r="AC13">
        <v>0</v>
      </c>
      <c r="AD13">
        <v>0</v>
      </c>
      <c r="AE13">
        <v>0</v>
      </c>
      <c r="AF13">
        <v>0</v>
      </c>
      <c r="AG13">
        <v>0</v>
      </c>
      <c r="AH13">
        <v>0</v>
      </c>
      <c r="AI13">
        <v>0</v>
      </c>
      <c r="AJ13">
        <v>1</v>
      </c>
      <c r="AK13">
        <v>0</v>
      </c>
      <c r="AL13">
        <v>0</v>
      </c>
      <c r="AM13">
        <v>0</v>
      </c>
      <c r="AN13">
        <v>0</v>
      </c>
      <c r="AO13">
        <v>0</v>
      </c>
      <c r="AP13">
        <v>0</v>
      </c>
      <c r="AQ13">
        <v>0</v>
      </c>
      <c r="AR13">
        <v>0</v>
      </c>
      <c r="AS13">
        <v>0</v>
      </c>
      <c r="AT13">
        <v>1</v>
      </c>
      <c r="AU13">
        <v>0</v>
      </c>
      <c r="AV13">
        <v>0</v>
      </c>
      <c r="AW13">
        <v>2019</v>
      </c>
    </row>
    <row r="14" spans="1:49" x14ac:dyDescent="0.35">
      <c r="A14" t="s">
        <v>64</v>
      </c>
      <c r="B14" t="s">
        <v>49</v>
      </c>
      <c r="C14">
        <v>0</v>
      </c>
      <c r="D14">
        <v>0</v>
      </c>
      <c r="E14">
        <v>0</v>
      </c>
      <c r="F14">
        <v>0</v>
      </c>
      <c r="G14">
        <v>1</v>
      </c>
      <c r="H14">
        <v>0</v>
      </c>
      <c r="I14">
        <v>0</v>
      </c>
      <c r="J14">
        <v>0</v>
      </c>
      <c r="K14">
        <v>0</v>
      </c>
      <c r="L14">
        <v>0</v>
      </c>
      <c r="M14">
        <v>0</v>
      </c>
      <c r="N14">
        <v>1</v>
      </c>
      <c r="O14">
        <v>0</v>
      </c>
      <c r="P14">
        <v>0</v>
      </c>
      <c r="Q14">
        <v>1</v>
      </c>
      <c r="R14">
        <v>1</v>
      </c>
      <c r="S14" t="s">
        <v>52</v>
      </c>
      <c r="T14">
        <v>0</v>
      </c>
      <c r="U14">
        <v>0</v>
      </c>
      <c r="V14">
        <v>0</v>
      </c>
      <c r="W14">
        <v>0</v>
      </c>
      <c r="X14">
        <v>1</v>
      </c>
      <c r="Y14">
        <v>0</v>
      </c>
      <c r="Z14" t="s">
        <v>232</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1</v>
      </c>
      <c r="AW14">
        <v>2020</v>
      </c>
    </row>
    <row r="15" spans="1:49" x14ac:dyDescent="0.35">
      <c r="A15" t="s">
        <v>65</v>
      </c>
      <c r="B15" t="s">
        <v>66</v>
      </c>
      <c r="C15">
        <v>0</v>
      </c>
      <c r="D15">
        <v>0</v>
      </c>
      <c r="E15">
        <v>0</v>
      </c>
      <c r="F15">
        <v>0</v>
      </c>
      <c r="G15">
        <v>1</v>
      </c>
      <c r="H15">
        <v>0</v>
      </c>
      <c r="I15">
        <v>0</v>
      </c>
      <c r="J15">
        <v>0</v>
      </c>
      <c r="K15">
        <v>1</v>
      </c>
      <c r="L15">
        <v>0</v>
      </c>
      <c r="M15">
        <v>0</v>
      </c>
      <c r="N15">
        <v>0</v>
      </c>
      <c r="O15">
        <v>0</v>
      </c>
      <c r="P15">
        <v>1</v>
      </c>
      <c r="Q15">
        <v>0</v>
      </c>
      <c r="R15">
        <v>1</v>
      </c>
      <c r="S15" t="s">
        <v>50</v>
      </c>
      <c r="T15">
        <v>0</v>
      </c>
      <c r="U15">
        <v>0</v>
      </c>
      <c r="V15">
        <v>0</v>
      </c>
      <c r="W15">
        <v>0</v>
      </c>
      <c r="X15">
        <v>0</v>
      </c>
      <c r="Y15">
        <v>1</v>
      </c>
      <c r="Z15" t="s">
        <v>231</v>
      </c>
      <c r="AA15">
        <v>0</v>
      </c>
      <c r="AB15">
        <v>0</v>
      </c>
      <c r="AC15">
        <v>0</v>
      </c>
      <c r="AD15">
        <v>0</v>
      </c>
      <c r="AE15">
        <v>0</v>
      </c>
      <c r="AF15">
        <v>0</v>
      </c>
      <c r="AG15">
        <v>0</v>
      </c>
      <c r="AH15">
        <v>0</v>
      </c>
      <c r="AI15">
        <v>0</v>
      </c>
      <c r="AJ15">
        <v>0</v>
      </c>
      <c r="AK15">
        <v>0</v>
      </c>
      <c r="AL15">
        <v>1</v>
      </c>
      <c r="AM15">
        <v>0</v>
      </c>
      <c r="AN15">
        <v>0</v>
      </c>
      <c r="AO15">
        <v>0</v>
      </c>
      <c r="AP15">
        <v>0</v>
      </c>
      <c r="AQ15">
        <v>0</v>
      </c>
      <c r="AR15">
        <v>0</v>
      </c>
      <c r="AS15">
        <v>1</v>
      </c>
      <c r="AT15">
        <v>0</v>
      </c>
      <c r="AU15">
        <v>0</v>
      </c>
      <c r="AV15">
        <v>0</v>
      </c>
      <c r="AW15">
        <v>2021</v>
      </c>
    </row>
    <row r="16" spans="1:49" x14ac:dyDescent="0.35">
      <c r="A16" t="s">
        <v>67</v>
      </c>
      <c r="B16" t="s">
        <v>66</v>
      </c>
      <c r="C16">
        <v>0</v>
      </c>
      <c r="D16">
        <v>0</v>
      </c>
      <c r="E16">
        <v>0</v>
      </c>
      <c r="F16">
        <v>0</v>
      </c>
      <c r="G16">
        <v>1</v>
      </c>
      <c r="H16">
        <v>0</v>
      </c>
      <c r="I16">
        <v>0</v>
      </c>
      <c r="J16">
        <v>0</v>
      </c>
      <c r="K16">
        <v>1</v>
      </c>
      <c r="L16">
        <v>0</v>
      </c>
      <c r="M16">
        <v>0</v>
      </c>
      <c r="N16">
        <v>0</v>
      </c>
      <c r="O16">
        <v>0</v>
      </c>
      <c r="P16">
        <v>0</v>
      </c>
      <c r="Q16">
        <v>1</v>
      </c>
      <c r="R16">
        <v>1</v>
      </c>
      <c r="S16" t="s">
        <v>238</v>
      </c>
      <c r="T16">
        <v>0</v>
      </c>
      <c r="U16">
        <v>0</v>
      </c>
      <c r="V16">
        <v>1</v>
      </c>
      <c r="W16">
        <v>1</v>
      </c>
      <c r="X16">
        <v>0</v>
      </c>
      <c r="Y16">
        <v>0</v>
      </c>
      <c r="Z16" t="s">
        <v>230</v>
      </c>
      <c r="AA16">
        <v>0</v>
      </c>
      <c r="AB16">
        <v>0</v>
      </c>
      <c r="AC16">
        <v>0</v>
      </c>
      <c r="AD16">
        <v>0</v>
      </c>
      <c r="AE16">
        <v>0</v>
      </c>
      <c r="AF16">
        <v>1</v>
      </c>
      <c r="AG16">
        <v>0</v>
      </c>
      <c r="AH16">
        <v>0</v>
      </c>
      <c r="AI16">
        <v>0</v>
      </c>
      <c r="AJ16">
        <v>0</v>
      </c>
      <c r="AK16">
        <v>0</v>
      </c>
      <c r="AL16">
        <v>0</v>
      </c>
      <c r="AM16">
        <v>0</v>
      </c>
      <c r="AN16">
        <v>0</v>
      </c>
      <c r="AO16">
        <v>0</v>
      </c>
      <c r="AP16">
        <v>0</v>
      </c>
      <c r="AQ16">
        <v>0</v>
      </c>
      <c r="AR16">
        <v>0</v>
      </c>
      <c r="AS16">
        <v>1</v>
      </c>
      <c r="AT16">
        <v>0</v>
      </c>
      <c r="AU16">
        <v>0</v>
      </c>
      <c r="AV16">
        <v>0</v>
      </c>
      <c r="AW16">
        <v>2018</v>
      </c>
    </row>
    <row r="17" spans="1:49" x14ac:dyDescent="0.35">
      <c r="A17" t="s">
        <v>68</v>
      </c>
      <c r="B17" t="s">
        <v>49</v>
      </c>
      <c r="C17">
        <v>0</v>
      </c>
      <c r="D17">
        <v>0</v>
      </c>
      <c r="E17">
        <v>0</v>
      </c>
      <c r="F17">
        <v>0</v>
      </c>
      <c r="G17">
        <v>1</v>
      </c>
      <c r="H17">
        <v>0</v>
      </c>
      <c r="I17">
        <v>0</v>
      </c>
      <c r="J17">
        <v>0</v>
      </c>
      <c r="K17">
        <v>0</v>
      </c>
      <c r="L17">
        <v>0</v>
      </c>
      <c r="M17">
        <v>0</v>
      </c>
      <c r="N17">
        <v>1</v>
      </c>
      <c r="O17">
        <v>0</v>
      </c>
      <c r="P17">
        <v>0</v>
      </c>
      <c r="Q17">
        <v>0</v>
      </c>
      <c r="R17">
        <v>1</v>
      </c>
      <c r="S17" t="s">
        <v>52</v>
      </c>
      <c r="T17">
        <v>0</v>
      </c>
      <c r="U17">
        <v>0</v>
      </c>
      <c r="V17">
        <v>0</v>
      </c>
      <c r="W17">
        <v>1</v>
      </c>
      <c r="X17">
        <v>0</v>
      </c>
      <c r="Y17">
        <v>0</v>
      </c>
      <c r="Z17" t="s">
        <v>232</v>
      </c>
      <c r="AA17">
        <v>0</v>
      </c>
      <c r="AB17">
        <v>0</v>
      </c>
      <c r="AC17">
        <v>0</v>
      </c>
      <c r="AD17">
        <v>0</v>
      </c>
      <c r="AE17">
        <v>0</v>
      </c>
      <c r="AF17">
        <v>0</v>
      </c>
      <c r="AG17">
        <v>0</v>
      </c>
      <c r="AH17">
        <v>0</v>
      </c>
      <c r="AI17">
        <v>0</v>
      </c>
      <c r="AJ17">
        <v>0</v>
      </c>
      <c r="AK17">
        <v>0</v>
      </c>
      <c r="AL17">
        <v>1</v>
      </c>
      <c r="AM17">
        <v>0</v>
      </c>
      <c r="AN17">
        <v>0</v>
      </c>
      <c r="AO17">
        <v>1</v>
      </c>
      <c r="AP17">
        <v>0</v>
      </c>
      <c r="AQ17">
        <v>0</v>
      </c>
      <c r="AR17">
        <v>0</v>
      </c>
      <c r="AS17">
        <v>0</v>
      </c>
      <c r="AT17">
        <v>0</v>
      </c>
      <c r="AU17">
        <v>1</v>
      </c>
      <c r="AV17">
        <v>0</v>
      </c>
      <c r="AW17">
        <v>2014</v>
      </c>
    </row>
    <row r="18" spans="1:49" x14ac:dyDescent="0.35">
      <c r="A18" t="s">
        <v>69</v>
      </c>
      <c r="B18" t="s">
        <v>49</v>
      </c>
      <c r="C18">
        <v>0</v>
      </c>
      <c r="D18">
        <v>0</v>
      </c>
      <c r="E18">
        <v>0</v>
      </c>
      <c r="F18">
        <v>0</v>
      </c>
      <c r="G18">
        <v>1</v>
      </c>
      <c r="H18">
        <v>0</v>
      </c>
      <c r="I18">
        <v>0</v>
      </c>
      <c r="J18">
        <v>1</v>
      </c>
      <c r="K18">
        <v>0</v>
      </c>
      <c r="L18">
        <v>0</v>
      </c>
      <c r="M18">
        <v>0</v>
      </c>
      <c r="N18">
        <v>0</v>
      </c>
      <c r="O18">
        <v>0</v>
      </c>
      <c r="P18">
        <v>0</v>
      </c>
      <c r="Q18">
        <v>1</v>
      </c>
      <c r="R18">
        <v>0</v>
      </c>
      <c r="S18" t="s">
        <v>52</v>
      </c>
      <c r="T18">
        <v>0</v>
      </c>
      <c r="U18">
        <v>0</v>
      </c>
      <c r="V18">
        <v>0</v>
      </c>
      <c r="W18">
        <v>1</v>
      </c>
      <c r="X18">
        <v>0</v>
      </c>
      <c r="Y18">
        <v>1</v>
      </c>
      <c r="Z18" t="s">
        <v>232</v>
      </c>
      <c r="AA18">
        <v>0</v>
      </c>
      <c r="AB18">
        <v>0</v>
      </c>
      <c r="AC18">
        <v>0</v>
      </c>
      <c r="AD18">
        <v>0</v>
      </c>
      <c r="AE18">
        <v>0</v>
      </c>
      <c r="AF18">
        <v>0</v>
      </c>
      <c r="AG18">
        <v>1</v>
      </c>
      <c r="AH18">
        <v>0</v>
      </c>
      <c r="AI18">
        <v>0</v>
      </c>
      <c r="AJ18">
        <v>0</v>
      </c>
      <c r="AK18">
        <v>0</v>
      </c>
      <c r="AL18">
        <v>1</v>
      </c>
      <c r="AM18">
        <v>0</v>
      </c>
      <c r="AN18">
        <v>0</v>
      </c>
      <c r="AO18">
        <v>1</v>
      </c>
      <c r="AP18">
        <v>0</v>
      </c>
      <c r="AQ18">
        <v>0</v>
      </c>
      <c r="AR18">
        <v>0</v>
      </c>
      <c r="AS18">
        <v>1</v>
      </c>
      <c r="AT18">
        <v>0</v>
      </c>
      <c r="AU18">
        <v>1</v>
      </c>
      <c r="AV18">
        <v>0</v>
      </c>
      <c r="AW18">
        <v>2014</v>
      </c>
    </row>
    <row r="19" spans="1:49" x14ac:dyDescent="0.35">
      <c r="A19" t="s">
        <v>70</v>
      </c>
      <c r="B19" t="s">
        <v>56</v>
      </c>
      <c r="C19">
        <v>0</v>
      </c>
      <c r="D19">
        <v>0</v>
      </c>
      <c r="E19">
        <v>0</v>
      </c>
      <c r="F19">
        <v>0</v>
      </c>
      <c r="G19">
        <v>1</v>
      </c>
      <c r="H19">
        <v>0</v>
      </c>
      <c r="I19">
        <v>0</v>
      </c>
      <c r="J19">
        <v>0</v>
      </c>
      <c r="K19">
        <v>0</v>
      </c>
      <c r="L19">
        <v>0</v>
      </c>
      <c r="M19">
        <v>0</v>
      </c>
      <c r="N19">
        <v>1</v>
      </c>
      <c r="O19">
        <v>0</v>
      </c>
      <c r="P19">
        <v>0</v>
      </c>
      <c r="Q19">
        <v>1</v>
      </c>
      <c r="R19">
        <v>0</v>
      </c>
      <c r="S19" t="s">
        <v>50</v>
      </c>
      <c r="T19">
        <v>0</v>
      </c>
      <c r="U19">
        <v>0</v>
      </c>
      <c r="V19">
        <v>0</v>
      </c>
      <c r="W19">
        <v>0</v>
      </c>
      <c r="X19">
        <v>0</v>
      </c>
      <c r="Y19">
        <v>1</v>
      </c>
      <c r="Z19" t="s">
        <v>231</v>
      </c>
      <c r="AA19">
        <v>0</v>
      </c>
      <c r="AB19">
        <v>0</v>
      </c>
      <c r="AC19">
        <v>0</v>
      </c>
      <c r="AD19">
        <v>0</v>
      </c>
      <c r="AE19">
        <v>0</v>
      </c>
      <c r="AF19">
        <v>0</v>
      </c>
      <c r="AG19">
        <v>0</v>
      </c>
      <c r="AH19">
        <v>0</v>
      </c>
      <c r="AI19">
        <v>0</v>
      </c>
      <c r="AJ19">
        <v>0</v>
      </c>
      <c r="AK19">
        <v>0</v>
      </c>
      <c r="AL19">
        <v>1</v>
      </c>
      <c r="AM19">
        <v>0</v>
      </c>
      <c r="AN19">
        <v>0</v>
      </c>
      <c r="AO19">
        <v>1</v>
      </c>
      <c r="AP19">
        <v>1</v>
      </c>
      <c r="AQ19">
        <v>0</v>
      </c>
      <c r="AR19">
        <v>0</v>
      </c>
      <c r="AS19">
        <v>0</v>
      </c>
      <c r="AT19">
        <v>0</v>
      </c>
      <c r="AU19">
        <v>1</v>
      </c>
      <c r="AV19">
        <v>0</v>
      </c>
      <c r="AW19">
        <v>2018</v>
      </c>
    </row>
    <row r="20" spans="1:49" x14ac:dyDescent="0.35">
      <c r="A20" t="s">
        <v>71</v>
      </c>
      <c r="B20" t="s">
        <v>49</v>
      </c>
      <c r="C20">
        <v>0</v>
      </c>
      <c r="D20">
        <v>0</v>
      </c>
      <c r="E20">
        <v>0</v>
      </c>
      <c r="F20">
        <v>0</v>
      </c>
      <c r="G20">
        <v>1</v>
      </c>
      <c r="H20">
        <v>0</v>
      </c>
      <c r="I20">
        <v>0</v>
      </c>
      <c r="J20">
        <v>0</v>
      </c>
      <c r="K20">
        <v>0</v>
      </c>
      <c r="L20">
        <v>0</v>
      </c>
      <c r="M20">
        <v>0</v>
      </c>
      <c r="N20">
        <v>1</v>
      </c>
      <c r="O20">
        <v>1</v>
      </c>
      <c r="P20">
        <v>0</v>
      </c>
      <c r="Q20">
        <v>0</v>
      </c>
      <c r="R20">
        <v>0</v>
      </c>
      <c r="S20" t="s">
        <v>50</v>
      </c>
      <c r="T20">
        <v>0</v>
      </c>
      <c r="U20">
        <v>0</v>
      </c>
      <c r="V20">
        <v>0</v>
      </c>
      <c r="W20">
        <v>0</v>
      </c>
      <c r="X20">
        <v>0</v>
      </c>
      <c r="Y20">
        <v>1</v>
      </c>
      <c r="Z20" t="s">
        <v>231</v>
      </c>
      <c r="AA20">
        <v>0</v>
      </c>
      <c r="AB20">
        <v>0</v>
      </c>
      <c r="AC20">
        <v>0</v>
      </c>
      <c r="AD20">
        <v>0</v>
      </c>
      <c r="AE20">
        <v>0</v>
      </c>
      <c r="AF20">
        <v>0</v>
      </c>
      <c r="AG20">
        <v>0</v>
      </c>
      <c r="AH20">
        <v>0</v>
      </c>
      <c r="AI20">
        <v>0</v>
      </c>
      <c r="AJ20">
        <v>0</v>
      </c>
      <c r="AK20">
        <v>0</v>
      </c>
      <c r="AL20">
        <v>1</v>
      </c>
      <c r="AM20">
        <v>1</v>
      </c>
      <c r="AN20">
        <v>1</v>
      </c>
      <c r="AO20">
        <v>0</v>
      </c>
      <c r="AP20">
        <v>0</v>
      </c>
      <c r="AQ20">
        <v>0</v>
      </c>
      <c r="AR20">
        <v>0</v>
      </c>
      <c r="AS20">
        <v>0</v>
      </c>
      <c r="AT20">
        <v>0</v>
      </c>
      <c r="AU20">
        <v>0</v>
      </c>
      <c r="AV20">
        <v>0</v>
      </c>
      <c r="AW20">
        <v>2019</v>
      </c>
    </row>
    <row r="21" spans="1:49" x14ac:dyDescent="0.35">
      <c r="A21" t="s">
        <v>72</v>
      </c>
      <c r="B21" t="s">
        <v>49</v>
      </c>
      <c r="C21">
        <v>0</v>
      </c>
      <c r="D21">
        <v>0</v>
      </c>
      <c r="E21">
        <v>0</v>
      </c>
      <c r="F21">
        <v>0</v>
      </c>
      <c r="G21">
        <v>1</v>
      </c>
      <c r="H21">
        <v>0</v>
      </c>
      <c r="I21">
        <v>0</v>
      </c>
      <c r="J21">
        <v>0</v>
      </c>
      <c r="K21">
        <v>0</v>
      </c>
      <c r="L21">
        <v>0</v>
      </c>
      <c r="M21">
        <v>0</v>
      </c>
      <c r="N21">
        <v>1</v>
      </c>
      <c r="O21">
        <v>1</v>
      </c>
      <c r="P21">
        <v>1</v>
      </c>
      <c r="Q21">
        <v>1</v>
      </c>
      <c r="R21">
        <v>1</v>
      </c>
      <c r="S21" t="s">
        <v>52</v>
      </c>
      <c r="T21">
        <v>1</v>
      </c>
      <c r="U21">
        <v>0</v>
      </c>
      <c r="V21">
        <v>1</v>
      </c>
      <c r="W21">
        <v>0</v>
      </c>
      <c r="X21">
        <v>0</v>
      </c>
      <c r="Y21">
        <v>0</v>
      </c>
      <c r="Z21" t="s">
        <v>232</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1</v>
      </c>
      <c r="AW21">
        <v>2019</v>
      </c>
    </row>
    <row r="22" spans="1:49" x14ac:dyDescent="0.35">
      <c r="A22" t="s">
        <v>73</v>
      </c>
      <c r="B22" t="s">
        <v>56</v>
      </c>
      <c r="C22">
        <v>0</v>
      </c>
      <c r="D22">
        <v>0</v>
      </c>
      <c r="E22">
        <v>0</v>
      </c>
      <c r="F22">
        <v>0</v>
      </c>
      <c r="G22">
        <v>1</v>
      </c>
      <c r="H22">
        <v>0</v>
      </c>
      <c r="I22">
        <v>0</v>
      </c>
      <c r="J22">
        <v>0</v>
      </c>
      <c r="K22">
        <v>0</v>
      </c>
      <c r="L22">
        <v>0</v>
      </c>
      <c r="M22">
        <v>0</v>
      </c>
      <c r="N22">
        <v>1</v>
      </c>
      <c r="O22">
        <v>0</v>
      </c>
      <c r="P22">
        <v>0</v>
      </c>
      <c r="Q22">
        <v>1</v>
      </c>
      <c r="R22">
        <v>0</v>
      </c>
      <c r="S22" t="s">
        <v>50</v>
      </c>
      <c r="T22">
        <v>0</v>
      </c>
      <c r="U22">
        <v>0</v>
      </c>
      <c r="V22">
        <v>0</v>
      </c>
      <c r="W22">
        <v>0</v>
      </c>
      <c r="X22">
        <v>1</v>
      </c>
      <c r="Y22">
        <v>0</v>
      </c>
      <c r="Z22" t="s">
        <v>231</v>
      </c>
      <c r="AA22">
        <v>0</v>
      </c>
      <c r="AB22">
        <v>0</v>
      </c>
      <c r="AC22">
        <v>0</v>
      </c>
      <c r="AD22">
        <v>0</v>
      </c>
      <c r="AE22">
        <v>0</v>
      </c>
      <c r="AF22">
        <v>0</v>
      </c>
      <c r="AG22">
        <v>0</v>
      </c>
      <c r="AH22">
        <v>0</v>
      </c>
      <c r="AI22">
        <v>0</v>
      </c>
      <c r="AJ22">
        <v>0</v>
      </c>
      <c r="AK22">
        <v>0</v>
      </c>
      <c r="AL22">
        <v>1</v>
      </c>
      <c r="AM22">
        <v>1</v>
      </c>
      <c r="AN22">
        <v>0</v>
      </c>
      <c r="AO22">
        <v>1</v>
      </c>
      <c r="AP22">
        <v>0</v>
      </c>
      <c r="AQ22">
        <v>0</v>
      </c>
      <c r="AR22">
        <v>0</v>
      </c>
      <c r="AS22">
        <v>1</v>
      </c>
      <c r="AT22">
        <v>0</v>
      </c>
      <c r="AU22">
        <v>0</v>
      </c>
      <c r="AV22">
        <v>0</v>
      </c>
      <c r="AW22">
        <v>2019</v>
      </c>
    </row>
    <row r="23" spans="1:49" x14ac:dyDescent="0.35">
      <c r="A23" t="s">
        <v>74</v>
      </c>
      <c r="B23" t="s">
        <v>56</v>
      </c>
      <c r="C23">
        <v>0</v>
      </c>
      <c r="D23">
        <v>0</v>
      </c>
      <c r="E23">
        <v>0</v>
      </c>
      <c r="F23">
        <v>0</v>
      </c>
      <c r="G23">
        <v>1</v>
      </c>
      <c r="H23">
        <v>0</v>
      </c>
      <c r="I23">
        <v>0</v>
      </c>
      <c r="J23">
        <v>0</v>
      </c>
      <c r="K23">
        <v>0</v>
      </c>
      <c r="L23">
        <v>0</v>
      </c>
      <c r="M23">
        <v>0</v>
      </c>
      <c r="N23">
        <v>1</v>
      </c>
      <c r="O23">
        <v>0</v>
      </c>
      <c r="P23">
        <v>0</v>
      </c>
      <c r="Q23">
        <v>1</v>
      </c>
      <c r="R23">
        <v>1</v>
      </c>
      <c r="S23" t="s">
        <v>50</v>
      </c>
      <c r="T23">
        <v>0</v>
      </c>
      <c r="U23">
        <v>0</v>
      </c>
      <c r="V23">
        <v>0</v>
      </c>
      <c r="W23">
        <v>1</v>
      </c>
      <c r="X23">
        <v>0</v>
      </c>
      <c r="Y23">
        <v>1</v>
      </c>
      <c r="Z23" t="s">
        <v>231</v>
      </c>
      <c r="AA23">
        <v>0</v>
      </c>
      <c r="AB23">
        <v>0</v>
      </c>
      <c r="AC23">
        <v>0</v>
      </c>
      <c r="AD23">
        <v>0</v>
      </c>
      <c r="AE23">
        <v>0</v>
      </c>
      <c r="AF23">
        <v>0</v>
      </c>
      <c r="AG23">
        <v>0</v>
      </c>
      <c r="AH23">
        <v>0</v>
      </c>
      <c r="AI23">
        <v>0</v>
      </c>
      <c r="AJ23">
        <v>0</v>
      </c>
      <c r="AK23">
        <v>0</v>
      </c>
      <c r="AL23">
        <v>1</v>
      </c>
      <c r="AM23">
        <v>1</v>
      </c>
      <c r="AN23">
        <v>0</v>
      </c>
      <c r="AO23">
        <v>1</v>
      </c>
      <c r="AP23">
        <v>0</v>
      </c>
      <c r="AQ23">
        <v>0</v>
      </c>
      <c r="AR23">
        <v>0</v>
      </c>
      <c r="AS23">
        <v>1</v>
      </c>
      <c r="AT23">
        <v>0</v>
      </c>
      <c r="AU23">
        <v>0</v>
      </c>
      <c r="AV23">
        <v>0</v>
      </c>
      <c r="AW23">
        <v>2015</v>
      </c>
    </row>
    <row r="24" spans="1:49" x14ac:dyDescent="0.35">
      <c r="A24" t="s">
        <v>75</v>
      </c>
      <c r="B24" t="s">
        <v>56</v>
      </c>
      <c r="C24">
        <v>0</v>
      </c>
      <c r="D24">
        <v>0</v>
      </c>
      <c r="E24">
        <v>1</v>
      </c>
      <c r="F24">
        <v>0</v>
      </c>
      <c r="G24">
        <v>0</v>
      </c>
      <c r="H24">
        <v>0</v>
      </c>
      <c r="I24">
        <v>0</v>
      </c>
      <c r="J24">
        <v>1</v>
      </c>
      <c r="K24">
        <v>0</v>
      </c>
      <c r="L24">
        <v>0</v>
      </c>
      <c r="M24">
        <v>0</v>
      </c>
      <c r="N24">
        <v>0</v>
      </c>
      <c r="O24">
        <v>1</v>
      </c>
      <c r="P24">
        <v>0</v>
      </c>
      <c r="Q24">
        <v>1</v>
      </c>
      <c r="R24">
        <v>0</v>
      </c>
      <c r="S24" t="s">
        <v>50</v>
      </c>
      <c r="T24">
        <v>1</v>
      </c>
      <c r="U24">
        <v>0</v>
      </c>
      <c r="V24">
        <v>0</v>
      </c>
      <c r="W24">
        <v>1</v>
      </c>
      <c r="X24">
        <v>0</v>
      </c>
      <c r="Y24">
        <v>0</v>
      </c>
      <c r="Z24" t="s">
        <v>231</v>
      </c>
      <c r="AA24">
        <v>0</v>
      </c>
      <c r="AB24">
        <v>0</v>
      </c>
      <c r="AC24">
        <v>0</v>
      </c>
      <c r="AD24">
        <v>0</v>
      </c>
      <c r="AE24">
        <v>0</v>
      </c>
      <c r="AF24">
        <v>0</v>
      </c>
      <c r="AG24">
        <v>1</v>
      </c>
      <c r="AH24">
        <v>0</v>
      </c>
      <c r="AI24">
        <v>0</v>
      </c>
      <c r="AJ24">
        <v>0</v>
      </c>
      <c r="AK24">
        <v>0</v>
      </c>
      <c r="AL24">
        <v>0</v>
      </c>
      <c r="AM24">
        <v>0</v>
      </c>
      <c r="AN24">
        <v>0</v>
      </c>
      <c r="AO24">
        <v>0</v>
      </c>
      <c r="AP24">
        <v>0</v>
      </c>
      <c r="AQ24">
        <v>0</v>
      </c>
      <c r="AR24">
        <v>0</v>
      </c>
      <c r="AS24">
        <v>0</v>
      </c>
      <c r="AT24">
        <v>0</v>
      </c>
      <c r="AU24">
        <v>0</v>
      </c>
      <c r="AV24">
        <v>0</v>
      </c>
      <c r="AW24">
        <v>2011</v>
      </c>
    </row>
    <row r="25" spans="1:49" x14ac:dyDescent="0.35">
      <c r="A25" t="s">
        <v>76</v>
      </c>
      <c r="B25" t="s">
        <v>49</v>
      </c>
      <c r="C25">
        <v>0</v>
      </c>
      <c r="D25">
        <v>0</v>
      </c>
      <c r="E25">
        <v>0</v>
      </c>
      <c r="F25">
        <v>0</v>
      </c>
      <c r="G25">
        <v>1</v>
      </c>
      <c r="H25">
        <v>0</v>
      </c>
      <c r="I25">
        <v>0</v>
      </c>
      <c r="J25">
        <v>1</v>
      </c>
      <c r="K25">
        <v>0</v>
      </c>
      <c r="L25">
        <v>0</v>
      </c>
      <c r="M25">
        <v>0</v>
      </c>
      <c r="N25">
        <v>0</v>
      </c>
      <c r="O25">
        <v>1</v>
      </c>
      <c r="P25">
        <v>1</v>
      </c>
      <c r="Q25">
        <v>0</v>
      </c>
      <c r="R25">
        <v>0</v>
      </c>
      <c r="S25" t="s">
        <v>50</v>
      </c>
      <c r="T25">
        <v>0</v>
      </c>
      <c r="U25">
        <v>0</v>
      </c>
      <c r="V25">
        <v>0</v>
      </c>
      <c r="W25">
        <v>0</v>
      </c>
      <c r="X25">
        <v>0</v>
      </c>
      <c r="Y25">
        <v>1</v>
      </c>
      <c r="Z25" t="s">
        <v>231</v>
      </c>
      <c r="AA25">
        <v>0</v>
      </c>
      <c r="AB25">
        <v>0</v>
      </c>
      <c r="AC25">
        <v>0</v>
      </c>
      <c r="AD25">
        <v>0</v>
      </c>
      <c r="AE25">
        <v>0</v>
      </c>
      <c r="AF25">
        <v>0</v>
      </c>
      <c r="AG25">
        <v>0</v>
      </c>
      <c r="AH25">
        <v>1</v>
      </c>
      <c r="AI25">
        <v>0</v>
      </c>
      <c r="AJ25">
        <v>0</v>
      </c>
      <c r="AK25">
        <v>0</v>
      </c>
      <c r="AL25">
        <v>0</v>
      </c>
      <c r="AM25">
        <v>0</v>
      </c>
      <c r="AN25">
        <v>0</v>
      </c>
      <c r="AO25">
        <v>0</v>
      </c>
      <c r="AP25">
        <v>0</v>
      </c>
      <c r="AQ25">
        <v>0</v>
      </c>
      <c r="AR25">
        <v>0</v>
      </c>
      <c r="AS25">
        <v>0</v>
      </c>
      <c r="AT25">
        <v>0</v>
      </c>
      <c r="AU25">
        <v>0</v>
      </c>
      <c r="AV25">
        <v>0</v>
      </c>
      <c r="AW25">
        <v>2019</v>
      </c>
    </row>
    <row r="26" spans="1:49" x14ac:dyDescent="0.35">
      <c r="A26" t="s">
        <v>77</v>
      </c>
      <c r="B26" t="s">
        <v>56</v>
      </c>
      <c r="C26">
        <v>0</v>
      </c>
      <c r="D26">
        <v>0</v>
      </c>
      <c r="E26">
        <v>0</v>
      </c>
      <c r="F26">
        <v>0</v>
      </c>
      <c r="G26">
        <v>1</v>
      </c>
      <c r="H26">
        <v>1</v>
      </c>
      <c r="I26">
        <v>0</v>
      </c>
      <c r="J26">
        <v>0</v>
      </c>
      <c r="K26">
        <v>0</v>
      </c>
      <c r="L26">
        <v>0</v>
      </c>
      <c r="M26">
        <v>0</v>
      </c>
      <c r="N26">
        <v>0</v>
      </c>
      <c r="O26">
        <v>1</v>
      </c>
      <c r="P26">
        <v>1</v>
      </c>
      <c r="Q26">
        <v>1</v>
      </c>
      <c r="R26">
        <v>0</v>
      </c>
      <c r="S26" t="s">
        <v>50</v>
      </c>
      <c r="T26">
        <v>0</v>
      </c>
      <c r="U26">
        <v>0</v>
      </c>
      <c r="V26">
        <v>0</v>
      </c>
      <c r="W26">
        <v>0</v>
      </c>
      <c r="X26">
        <v>0</v>
      </c>
      <c r="Y26">
        <v>1</v>
      </c>
      <c r="Z26" t="s">
        <v>231</v>
      </c>
      <c r="AA26">
        <v>0</v>
      </c>
      <c r="AB26">
        <v>0</v>
      </c>
      <c r="AC26">
        <v>0</v>
      </c>
      <c r="AD26">
        <v>0</v>
      </c>
      <c r="AE26">
        <v>0</v>
      </c>
      <c r="AF26">
        <v>0</v>
      </c>
      <c r="AG26">
        <v>0</v>
      </c>
      <c r="AH26">
        <v>1</v>
      </c>
      <c r="AI26">
        <v>0</v>
      </c>
      <c r="AJ26">
        <v>0</v>
      </c>
      <c r="AK26">
        <v>0</v>
      </c>
      <c r="AL26">
        <v>1</v>
      </c>
      <c r="AM26">
        <v>1</v>
      </c>
      <c r="AN26">
        <v>0</v>
      </c>
      <c r="AO26">
        <v>0</v>
      </c>
      <c r="AP26">
        <v>0</v>
      </c>
      <c r="AQ26">
        <v>0</v>
      </c>
      <c r="AR26">
        <v>0</v>
      </c>
      <c r="AS26">
        <v>0</v>
      </c>
      <c r="AT26">
        <v>0</v>
      </c>
      <c r="AU26">
        <v>1</v>
      </c>
      <c r="AV26">
        <v>0</v>
      </c>
      <c r="AW26">
        <v>2021</v>
      </c>
    </row>
    <row r="27" spans="1:49" x14ac:dyDescent="0.35">
      <c r="A27" t="s">
        <v>78</v>
      </c>
      <c r="B27" t="s">
        <v>66</v>
      </c>
      <c r="C27">
        <v>0</v>
      </c>
      <c r="D27">
        <v>0</v>
      </c>
      <c r="E27">
        <v>0</v>
      </c>
      <c r="F27">
        <v>0</v>
      </c>
      <c r="G27">
        <v>1</v>
      </c>
      <c r="H27">
        <v>0</v>
      </c>
      <c r="I27">
        <v>1</v>
      </c>
      <c r="J27">
        <v>0</v>
      </c>
      <c r="K27">
        <v>0</v>
      </c>
      <c r="L27">
        <v>0</v>
      </c>
      <c r="M27">
        <v>0</v>
      </c>
      <c r="N27">
        <v>0</v>
      </c>
      <c r="O27">
        <v>1</v>
      </c>
      <c r="P27">
        <v>1</v>
      </c>
      <c r="Q27">
        <v>0</v>
      </c>
      <c r="R27">
        <v>1</v>
      </c>
      <c r="S27" t="s">
        <v>50</v>
      </c>
      <c r="T27">
        <v>0</v>
      </c>
      <c r="U27">
        <v>0</v>
      </c>
      <c r="V27">
        <v>0</v>
      </c>
      <c r="W27">
        <v>1</v>
      </c>
      <c r="X27">
        <v>0</v>
      </c>
      <c r="Y27">
        <v>1</v>
      </c>
      <c r="Z27" t="s">
        <v>231</v>
      </c>
      <c r="AA27">
        <v>0</v>
      </c>
      <c r="AB27">
        <v>0</v>
      </c>
      <c r="AC27">
        <v>0</v>
      </c>
      <c r="AD27">
        <v>0</v>
      </c>
      <c r="AE27">
        <v>0</v>
      </c>
      <c r="AF27">
        <v>0</v>
      </c>
      <c r="AG27">
        <v>0</v>
      </c>
      <c r="AH27">
        <v>0</v>
      </c>
      <c r="AI27">
        <v>0</v>
      </c>
      <c r="AJ27">
        <v>0</v>
      </c>
      <c r="AK27">
        <v>0</v>
      </c>
      <c r="AL27">
        <v>1</v>
      </c>
      <c r="AM27">
        <v>1</v>
      </c>
      <c r="AN27">
        <v>0</v>
      </c>
      <c r="AO27">
        <v>0</v>
      </c>
      <c r="AP27">
        <v>0</v>
      </c>
      <c r="AQ27">
        <v>0</v>
      </c>
      <c r="AR27">
        <v>0</v>
      </c>
      <c r="AS27">
        <v>1</v>
      </c>
      <c r="AT27">
        <v>0</v>
      </c>
      <c r="AU27">
        <v>0</v>
      </c>
      <c r="AV27">
        <v>0</v>
      </c>
      <c r="AW27">
        <v>2019</v>
      </c>
    </row>
    <row r="28" spans="1:49" x14ac:dyDescent="0.35">
      <c r="A28" t="s">
        <v>79</v>
      </c>
      <c r="B28" t="s">
        <v>49</v>
      </c>
      <c r="C28">
        <v>0</v>
      </c>
      <c r="D28">
        <v>0</v>
      </c>
      <c r="E28">
        <v>0</v>
      </c>
      <c r="F28">
        <v>0</v>
      </c>
      <c r="G28">
        <v>1</v>
      </c>
      <c r="H28">
        <v>0</v>
      </c>
      <c r="I28">
        <v>0</v>
      </c>
      <c r="J28">
        <v>0</v>
      </c>
      <c r="K28">
        <v>0</v>
      </c>
      <c r="L28">
        <v>0</v>
      </c>
      <c r="M28">
        <v>0</v>
      </c>
      <c r="N28">
        <v>1</v>
      </c>
      <c r="O28">
        <v>0</v>
      </c>
      <c r="P28">
        <v>0</v>
      </c>
      <c r="Q28">
        <v>0</v>
      </c>
      <c r="R28">
        <v>1</v>
      </c>
      <c r="S28" t="s">
        <v>50</v>
      </c>
      <c r="T28">
        <v>1</v>
      </c>
      <c r="U28">
        <v>0</v>
      </c>
      <c r="V28">
        <v>0</v>
      </c>
      <c r="W28">
        <v>0</v>
      </c>
      <c r="X28">
        <v>0</v>
      </c>
      <c r="Y28">
        <v>0</v>
      </c>
      <c r="Z28" t="s">
        <v>231</v>
      </c>
      <c r="AA28">
        <v>0</v>
      </c>
      <c r="AB28">
        <v>0</v>
      </c>
      <c r="AC28">
        <v>0</v>
      </c>
      <c r="AD28">
        <v>0</v>
      </c>
      <c r="AE28">
        <v>0</v>
      </c>
      <c r="AF28">
        <v>0</v>
      </c>
      <c r="AG28">
        <v>0</v>
      </c>
      <c r="AH28">
        <v>0</v>
      </c>
      <c r="AI28">
        <v>0</v>
      </c>
      <c r="AJ28">
        <v>1</v>
      </c>
      <c r="AK28">
        <v>0</v>
      </c>
      <c r="AL28">
        <v>0</v>
      </c>
      <c r="AM28">
        <v>0</v>
      </c>
      <c r="AN28">
        <v>0</v>
      </c>
      <c r="AO28">
        <v>0</v>
      </c>
      <c r="AP28">
        <v>0</v>
      </c>
      <c r="AQ28">
        <v>0</v>
      </c>
      <c r="AR28">
        <v>0</v>
      </c>
      <c r="AS28">
        <v>0</v>
      </c>
      <c r="AT28">
        <v>1</v>
      </c>
      <c r="AU28">
        <v>0</v>
      </c>
      <c r="AV28">
        <v>0</v>
      </c>
      <c r="AW28">
        <v>2018</v>
      </c>
    </row>
    <row r="29" spans="1:49" x14ac:dyDescent="0.35">
      <c r="A29" t="s">
        <v>80</v>
      </c>
      <c r="B29" t="s">
        <v>56</v>
      </c>
      <c r="C29">
        <v>0</v>
      </c>
      <c r="D29">
        <v>0</v>
      </c>
      <c r="E29">
        <v>0</v>
      </c>
      <c r="F29">
        <v>0</v>
      </c>
      <c r="G29">
        <v>1</v>
      </c>
      <c r="H29">
        <v>1</v>
      </c>
      <c r="I29">
        <v>0</v>
      </c>
      <c r="J29">
        <v>0</v>
      </c>
      <c r="K29">
        <v>0</v>
      </c>
      <c r="L29">
        <v>0</v>
      </c>
      <c r="M29">
        <v>0</v>
      </c>
      <c r="N29">
        <v>0</v>
      </c>
      <c r="O29">
        <v>0</v>
      </c>
      <c r="P29">
        <v>1</v>
      </c>
      <c r="Q29">
        <v>1</v>
      </c>
      <c r="R29">
        <v>1</v>
      </c>
      <c r="S29" t="s">
        <v>235</v>
      </c>
      <c r="T29">
        <v>0</v>
      </c>
      <c r="U29">
        <v>0</v>
      </c>
      <c r="V29">
        <v>0</v>
      </c>
      <c r="W29">
        <v>1</v>
      </c>
      <c r="X29">
        <v>0</v>
      </c>
      <c r="Y29">
        <v>1</v>
      </c>
      <c r="Z29" t="s">
        <v>231</v>
      </c>
      <c r="AA29">
        <v>0</v>
      </c>
      <c r="AB29">
        <v>0</v>
      </c>
      <c r="AC29">
        <v>0</v>
      </c>
      <c r="AD29">
        <v>0</v>
      </c>
      <c r="AE29">
        <v>0</v>
      </c>
      <c r="AF29">
        <v>0</v>
      </c>
      <c r="AG29">
        <v>0</v>
      </c>
      <c r="AH29">
        <v>1</v>
      </c>
      <c r="AI29">
        <v>0</v>
      </c>
      <c r="AJ29">
        <v>0</v>
      </c>
      <c r="AK29">
        <v>0</v>
      </c>
      <c r="AL29">
        <v>0</v>
      </c>
      <c r="AM29">
        <v>0</v>
      </c>
      <c r="AN29">
        <v>0</v>
      </c>
      <c r="AO29">
        <v>0</v>
      </c>
      <c r="AP29">
        <v>0</v>
      </c>
      <c r="AQ29">
        <v>0</v>
      </c>
      <c r="AR29">
        <v>0</v>
      </c>
      <c r="AS29">
        <v>1</v>
      </c>
      <c r="AT29">
        <v>0</v>
      </c>
      <c r="AU29">
        <v>0</v>
      </c>
      <c r="AV29">
        <v>0</v>
      </c>
      <c r="AW29">
        <v>2021</v>
      </c>
    </row>
    <row r="30" spans="1:49" x14ac:dyDescent="0.35">
      <c r="A30" t="s">
        <v>81</v>
      </c>
      <c r="B30" t="s">
        <v>49</v>
      </c>
      <c r="C30">
        <v>0</v>
      </c>
      <c r="D30">
        <v>0</v>
      </c>
      <c r="E30">
        <v>0</v>
      </c>
      <c r="F30">
        <v>0</v>
      </c>
      <c r="G30">
        <v>1</v>
      </c>
      <c r="H30">
        <v>1</v>
      </c>
      <c r="I30">
        <v>0</v>
      </c>
      <c r="J30">
        <v>0</v>
      </c>
      <c r="K30">
        <v>0</v>
      </c>
      <c r="L30">
        <v>0</v>
      </c>
      <c r="M30">
        <v>0</v>
      </c>
      <c r="N30">
        <v>0</v>
      </c>
      <c r="O30">
        <v>0</v>
      </c>
      <c r="P30">
        <v>0</v>
      </c>
      <c r="Q30">
        <v>0</v>
      </c>
      <c r="R30">
        <v>1</v>
      </c>
      <c r="S30" t="s">
        <v>235</v>
      </c>
      <c r="T30">
        <v>0</v>
      </c>
      <c r="U30">
        <v>0</v>
      </c>
      <c r="V30">
        <v>0</v>
      </c>
      <c r="W30">
        <v>1</v>
      </c>
      <c r="X30">
        <v>0</v>
      </c>
      <c r="Y30">
        <v>0</v>
      </c>
      <c r="Z30" t="s">
        <v>232</v>
      </c>
      <c r="AA30">
        <v>0</v>
      </c>
      <c r="AB30">
        <v>0</v>
      </c>
      <c r="AC30">
        <v>0</v>
      </c>
      <c r="AD30">
        <v>0</v>
      </c>
      <c r="AE30">
        <v>0</v>
      </c>
      <c r="AF30">
        <v>0</v>
      </c>
      <c r="AG30">
        <v>0</v>
      </c>
      <c r="AH30">
        <v>0</v>
      </c>
      <c r="AI30">
        <v>0</v>
      </c>
      <c r="AJ30">
        <v>0</v>
      </c>
      <c r="AK30">
        <v>0</v>
      </c>
      <c r="AL30">
        <v>0</v>
      </c>
      <c r="AM30">
        <v>0</v>
      </c>
      <c r="AN30">
        <v>0</v>
      </c>
      <c r="AO30">
        <v>0</v>
      </c>
      <c r="AP30">
        <v>0</v>
      </c>
      <c r="AQ30">
        <v>0</v>
      </c>
      <c r="AR30">
        <v>0</v>
      </c>
      <c r="AS30">
        <v>0</v>
      </c>
      <c r="AT30">
        <v>0</v>
      </c>
      <c r="AU30">
        <v>0</v>
      </c>
      <c r="AV30">
        <v>1</v>
      </c>
      <c r="AW30">
        <v>2019</v>
      </c>
    </row>
    <row r="31" spans="1:49" x14ac:dyDescent="0.35">
      <c r="A31" t="s">
        <v>82</v>
      </c>
      <c r="B31" t="s">
        <v>56</v>
      </c>
      <c r="C31">
        <v>0</v>
      </c>
      <c r="D31">
        <v>0</v>
      </c>
      <c r="E31">
        <v>0</v>
      </c>
      <c r="F31">
        <v>0</v>
      </c>
      <c r="G31">
        <v>1</v>
      </c>
      <c r="H31">
        <v>1</v>
      </c>
      <c r="I31">
        <v>0</v>
      </c>
      <c r="J31">
        <v>0</v>
      </c>
      <c r="K31">
        <v>0</v>
      </c>
      <c r="L31">
        <v>0</v>
      </c>
      <c r="M31">
        <v>0</v>
      </c>
      <c r="N31">
        <v>0</v>
      </c>
      <c r="O31">
        <v>0</v>
      </c>
      <c r="P31">
        <v>0</v>
      </c>
      <c r="Q31">
        <v>1</v>
      </c>
      <c r="R31">
        <v>0</v>
      </c>
      <c r="S31" t="s">
        <v>50</v>
      </c>
      <c r="T31">
        <v>0</v>
      </c>
      <c r="U31">
        <v>0</v>
      </c>
      <c r="V31">
        <v>0</v>
      </c>
      <c r="W31">
        <v>0</v>
      </c>
      <c r="X31">
        <v>0</v>
      </c>
      <c r="Y31">
        <v>1</v>
      </c>
      <c r="Z31" t="s">
        <v>231</v>
      </c>
      <c r="AA31">
        <v>0</v>
      </c>
      <c r="AB31">
        <v>0</v>
      </c>
      <c r="AC31">
        <v>0</v>
      </c>
      <c r="AD31">
        <v>0</v>
      </c>
      <c r="AE31">
        <v>0</v>
      </c>
      <c r="AF31">
        <v>0</v>
      </c>
      <c r="AG31">
        <v>0</v>
      </c>
      <c r="AH31">
        <v>0</v>
      </c>
      <c r="AI31">
        <v>0</v>
      </c>
      <c r="AJ31">
        <v>0</v>
      </c>
      <c r="AK31">
        <v>0</v>
      </c>
      <c r="AL31">
        <v>1</v>
      </c>
      <c r="AM31">
        <v>1</v>
      </c>
      <c r="AN31">
        <v>0</v>
      </c>
      <c r="AO31">
        <v>1</v>
      </c>
      <c r="AP31">
        <v>0</v>
      </c>
      <c r="AQ31">
        <v>0</v>
      </c>
      <c r="AR31">
        <v>0</v>
      </c>
      <c r="AS31">
        <v>0</v>
      </c>
      <c r="AT31">
        <v>0</v>
      </c>
      <c r="AU31">
        <v>0</v>
      </c>
      <c r="AV31">
        <v>0</v>
      </c>
      <c r="AW31">
        <v>2020</v>
      </c>
    </row>
    <row r="32" spans="1:49" x14ac:dyDescent="0.35">
      <c r="A32" t="s">
        <v>83</v>
      </c>
      <c r="B32" t="s">
        <v>49</v>
      </c>
      <c r="C32">
        <v>0</v>
      </c>
      <c r="D32">
        <v>0</v>
      </c>
      <c r="E32">
        <v>0</v>
      </c>
      <c r="F32">
        <v>0</v>
      </c>
      <c r="G32">
        <v>1</v>
      </c>
      <c r="H32">
        <v>0</v>
      </c>
      <c r="I32">
        <v>0</v>
      </c>
      <c r="J32">
        <v>0</v>
      </c>
      <c r="K32">
        <v>1</v>
      </c>
      <c r="L32">
        <v>0</v>
      </c>
      <c r="M32">
        <v>0</v>
      </c>
      <c r="N32">
        <v>0</v>
      </c>
      <c r="O32">
        <v>1</v>
      </c>
      <c r="P32">
        <v>1</v>
      </c>
      <c r="Q32">
        <v>0</v>
      </c>
      <c r="R32">
        <v>1</v>
      </c>
      <c r="S32" t="s">
        <v>50</v>
      </c>
      <c r="T32">
        <v>0</v>
      </c>
      <c r="U32">
        <v>1</v>
      </c>
      <c r="V32">
        <v>0</v>
      </c>
      <c r="W32">
        <v>1</v>
      </c>
      <c r="X32">
        <v>0</v>
      </c>
      <c r="Y32">
        <v>0</v>
      </c>
      <c r="Z32" t="s">
        <v>230</v>
      </c>
      <c r="AA32">
        <v>1</v>
      </c>
      <c r="AB32">
        <v>0</v>
      </c>
      <c r="AC32">
        <v>0</v>
      </c>
      <c r="AD32">
        <v>0</v>
      </c>
      <c r="AE32">
        <v>0</v>
      </c>
      <c r="AF32">
        <v>0</v>
      </c>
      <c r="AG32">
        <v>0</v>
      </c>
      <c r="AH32">
        <v>0</v>
      </c>
      <c r="AI32">
        <v>0</v>
      </c>
      <c r="AJ32">
        <v>0</v>
      </c>
      <c r="AK32">
        <v>0</v>
      </c>
      <c r="AL32">
        <v>0</v>
      </c>
      <c r="AM32">
        <v>0</v>
      </c>
      <c r="AN32">
        <v>0</v>
      </c>
      <c r="AO32">
        <v>0</v>
      </c>
      <c r="AP32">
        <v>0</v>
      </c>
      <c r="AQ32">
        <v>0</v>
      </c>
      <c r="AR32">
        <v>0</v>
      </c>
      <c r="AS32">
        <v>0</v>
      </c>
      <c r="AT32">
        <v>0</v>
      </c>
      <c r="AU32">
        <v>0</v>
      </c>
      <c r="AV32">
        <v>0</v>
      </c>
      <c r="AW32">
        <v>2021</v>
      </c>
    </row>
    <row r="33" spans="1:49" x14ac:dyDescent="0.35">
      <c r="A33" t="s">
        <v>84</v>
      </c>
      <c r="B33" t="s">
        <v>56</v>
      </c>
      <c r="C33">
        <v>1</v>
      </c>
      <c r="D33">
        <v>0</v>
      </c>
      <c r="E33">
        <v>0</v>
      </c>
      <c r="F33">
        <v>0</v>
      </c>
      <c r="G33">
        <v>0</v>
      </c>
      <c r="H33">
        <v>0</v>
      </c>
      <c r="I33">
        <v>0</v>
      </c>
      <c r="J33">
        <v>1</v>
      </c>
      <c r="K33">
        <v>0</v>
      </c>
      <c r="L33">
        <v>0</v>
      </c>
      <c r="M33">
        <v>0</v>
      </c>
      <c r="N33">
        <v>0</v>
      </c>
      <c r="O33">
        <v>0</v>
      </c>
      <c r="P33">
        <v>1</v>
      </c>
      <c r="Q33">
        <v>1</v>
      </c>
      <c r="R33">
        <v>0</v>
      </c>
      <c r="S33" t="s">
        <v>50</v>
      </c>
      <c r="T33">
        <v>1</v>
      </c>
      <c r="U33">
        <v>0</v>
      </c>
      <c r="V33">
        <v>0</v>
      </c>
      <c r="W33">
        <v>0</v>
      </c>
      <c r="X33">
        <v>1</v>
      </c>
      <c r="Y33">
        <v>0</v>
      </c>
      <c r="Z33" t="s">
        <v>231</v>
      </c>
      <c r="AA33">
        <v>0</v>
      </c>
      <c r="AB33">
        <v>0</v>
      </c>
      <c r="AC33">
        <v>0</v>
      </c>
      <c r="AD33">
        <v>0</v>
      </c>
      <c r="AE33">
        <v>0</v>
      </c>
      <c r="AF33">
        <v>0</v>
      </c>
      <c r="AG33">
        <v>1</v>
      </c>
      <c r="AH33">
        <v>1</v>
      </c>
      <c r="AI33">
        <v>0</v>
      </c>
      <c r="AJ33">
        <v>0</v>
      </c>
      <c r="AK33">
        <v>0</v>
      </c>
      <c r="AL33">
        <v>0</v>
      </c>
      <c r="AM33">
        <v>0</v>
      </c>
      <c r="AN33">
        <v>0</v>
      </c>
      <c r="AO33">
        <v>0</v>
      </c>
      <c r="AP33">
        <v>0</v>
      </c>
      <c r="AQ33">
        <v>0</v>
      </c>
      <c r="AR33">
        <v>0</v>
      </c>
      <c r="AS33">
        <v>0</v>
      </c>
      <c r="AT33">
        <v>0</v>
      </c>
      <c r="AU33">
        <v>0</v>
      </c>
      <c r="AV33">
        <v>0</v>
      </c>
      <c r="AW33">
        <v>2021</v>
      </c>
    </row>
    <row r="34" spans="1:49" x14ac:dyDescent="0.35">
      <c r="A34" t="s">
        <v>85</v>
      </c>
      <c r="B34" t="s">
        <v>56</v>
      </c>
      <c r="C34">
        <v>0</v>
      </c>
      <c r="D34">
        <v>0</v>
      </c>
      <c r="E34">
        <v>0</v>
      </c>
      <c r="F34">
        <v>0</v>
      </c>
      <c r="G34">
        <v>1</v>
      </c>
      <c r="H34">
        <v>1</v>
      </c>
      <c r="I34">
        <v>0</v>
      </c>
      <c r="J34">
        <v>0</v>
      </c>
      <c r="K34">
        <v>0</v>
      </c>
      <c r="L34">
        <v>0</v>
      </c>
      <c r="M34">
        <v>0</v>
      </c>
      <c r="N34">
        <v>0</v>
      </c>
      <c r="O34">
        <v>0</v>
      </c>
      <c r="P34">
        <v>1</v>
      </c>
      <c r="Q34">
        <v>1</v>
      </c>
      <c r="R34">
        <v>0</v>
      </c>
      <c r="S34" t="s">
        <v>50</v>
      </c>
      <c r="T34">
        <v>0</v>
      </c>
      <c r="U34">
        <v>0</v>
      </c>
      <c r="V34">
        <v>0</v>
      </c>
      <c r="W34">
        <v>1</v>
      </c>
      <c r="X34">
        <v>0</v>
      </c>
      <c r="Y34">
        <v>1</v>
      </c>
      <c r="Z34" t="s">
        <v>231</v>
      </c>
      <c r="AA34">
        <v>0</v>
      </c>
      <c r="AB34">
        <v>0</v>
      </c>
      <c r="AC34">
        <v>0</v>
      </c>
      <c r="AD34">
        <v>0</v>
      </c>
      <c r="AE34">
        <v>0</v>
      </c>
      <c r="AF34">
        <v>0</v>
      </c>
      <c r="AG34">
        <v>0</v>
      </c>
      <c r="AH34">
        <v>0</v>
      </c>
      <c r="AI34">
        <v>0</v>
      </c>
      <c r="AJ34">
        <v>0</v>
      </c>
      <c r="AK34">
        <v>0</v>
      </c>
      <c r="AL34">
        <v>1</v>
      </c>
      <c r="AM34">
        <v>1</v>
      </c>
      <c r="AN34">
        <v>1</v>
      </c>
      <c r="AO34">
        <v>1</v>
      </c>
      <c r="AP34">
        <v>1</v>
      </c>
      <c r="AQ34">
        <v>0</v>
      </c>
      <c r="AR34">
        <v>0</v>
      </c>
      <c r="AS34">
        <v>1</v>
      </c>
      <c r="AT34">
        <v>0</v>
      </c>
      <c r="AU34">
        <v>0</v>
      </c>
      <c r="AV34">
        <v>0</v>
      </c>
      <c r="AW34">
        <v>2015</v>
      </c>
    </row>
    <row r="35" spans="1:49" x14ac:dyDescent="0.35">
      <c r="A35" t="s">
        <v>86</v>
      </c>
      <c r="B35" t="s">
        <v>49</v>
      </c>
      <c r="C35">
        <v>0</v>
      </c>
      <c r="D35">
        <v>0</v>
      </c>
      <c r="E35">
        <v>0</v>
      </c>
      <c r="F35">
        <v>0</v>
      </c>
      <c r="G35">
        <v>1</v>
      </c>
      <c r="H35">
        <v>0</v>
      </c>
      <c r="I35">
        <v>0</v>
      </c>
      <c r="J35">
        <v>0</v>
      </c>
      <c r="K35">
        <v>0</v>
      </c>
      <c r="L35">
        <v>0</v>
      </c>
      <c r="M35">
        <v>0</v>
      </c>
      <c r="N35">
        <v>1</v>
      </c>
      <c r="O35">
        <v>0</v>
      </c>
      <c r="P35">
        <v>0</v>
      </c>
      <c r="Q35">
        <v>0</v>
      </c>
      <c r="R35">
        <v>1</v>
      </c>
      <c r="S35" t="s">
        <v>50</v>
      </c>
      <c r="T35">
        <v>0</v>
      </c>
      <c r="U35">
        <v>0</v>
      </c>
      <c r="V35">
        <v>0</v>
      </c>
      <c r="W35">
        <v>1</v>
      </c>
      <c r="X35">
        <v>1</v>
      </c>
      <c r="Y35">
        <v>0</v>
      </c>
      <c r="Z35" t="s">
        <v>231</v>
      </c>
      <c r="AA35">
        <v>0</v>
      </c>
      <c r="AB35">
        <v>0</v>
      </c>
      <c r="AC35">
        <v>0</v>
      </c>
      <c r="AD35">
        <v>0</v>
      </c>
      <c r="AE35">
        <v>0</v>
      </c>
      <c r="AF35">
        <v>0</v>
      </c>
      <c r="AG35">
        <v>0</v>
      </c>
      <c r="AH35">
        <v>0</v>
      </c>
      <c r="AI35">
        <v>0</v>
      </c>
      <c r="AJ35">
        <v>0</v>
      </c>
      <c r="AK35">
        <v>0</v>
      </c>
      <c r="AL35">
        <v>0</v>
      </c>
      <c r="AM35">
        <v>0</v>
      </c>
      <c r="AN35">
        <v>0</v>
      </c>
      <c r="AO35">
        <v>0</v>
      </c>
      <c r="AP35">
        <v>0</v>
      </c>
      <c r="AQ35">
        <v>0</v>
      </c>
      <c r="AR35">
        <v>0</v>
      </c>
      <c r="AS35">
        <v>1</v>
      </c>
      <c r="AT35">
        <v>0</v>
      </c>
      <c r="AU35">
        <v>0</v>
      </c>
      <c r="AV35">
        <v>0</v>
      </c>
      <c r="AW35">
        <v>2020</v>
      </c>
    </row>
    <row r="36" spans="1:49" x14ac:dyDescent="0.35">
      <c r="A36" t="s">
        <v>87</v>
      </c>
      <c r="B36" t="s">
        <v>56</v>
      </c>
      <c r="C36">
        <v>0</v>
      </c>
      <c r="D36">
        <v>0</v>
      </c>
      <c r="E36">
        <v>0</v>
      </c>
      <c r="F36">
        <v>0</v>
      </c>
      <c r="G36">
        <v>1</v>
      </c>
      <c r="H36">
        <v>1</v>
      </c>
      <c r="I36">
        <v>0</v>
      </c>
      <c r="J36">
        <v>0</v>
      </c>
      <c r="K36">
        <v>0</v>
      </c>
      <c r="L36">
        <v>0</v>
      </c>
      <c r="M36">
        <v>0</v>
      </c>
      <c r="N36">
        <v>0</v>
      </c>
      <c r="O36">
        <v>0</v>
      </c>
      <c r="P36">
        <v>0</v>
      </c>
      <c r="Q36">
        <v>1</v>
      </c>
      <c r="R36">
        <v>0</v>
      </c>
      <c r="S36" t="s">
        <v>50</v>
      </c>
      <c r="T36">
        <v>0</v>
      </c>
      <c r="U36">
        <v>0</v>
      </c>
      <c r="V36">
        <v>0</v>
      </c>
      <c r="W36">
        <v>1</v>
      </c>
      <c r="X36">
        <v>0</v>
      </c>
      <c r="Y36">
        <v>1</v>
      </c>
      <c r="Z36" t="s">
        <v>231</v>
      </c>
      <c r="AA36">
        <v>0</v>
      </c>
      <c r="AB36">
        <v>0</v>
      </c>
      <c r="AC36">
        <v>0</v>
      </c>
      <c r="AD36">
        <v>0</v>
      </c>
      <c r="AE36">
        <v>0</v>
      </c>
      <c r="AF36">
        <v>0</v>
      </c>
      <c r="AG36">
        <v>0</v>
      </c>
      <c r="AH36">
        <v>0</v>
      </c>
      <c r="AI36">
        <v>0</v>
      </c>
      <c r="AJ36">
        <v>0</v>
      </c>
      <c r="AK36">
        <v>0</v>
      </c>
      <c r="AL36">
        <v>1</v>
      </c>
      <c r="AM36">
        <v>1</v>
      </c>
      <c r="AN36">
        <v>0</v>
      </c>
      <c r="AO36">
        <v>1</v>
      </c>
      <c r="AP36">
        <v>0</v>
      </c>
      <c r="AQ36">
        <v>0</v>
      </c>
      <c r="AR36">
        <v>0</v>
      </c>
      <c r="AS36">
        <v>0</v>
      </c>
      <c r="AT36">
        <v>0</v>
      </c>
      <c r="AU36">
        <v>1</v>
      </c>
      <c r="AV36">
        <v>0</v>
      </c>
      <c r="AW36">
        <v>2019</v>
      </c>
    </row>
    <row r="37" spans="1:49" x14ac:dyDescent="0.35">
      <c r="A37" t="s">
        <v>88</v>
      </c>
      <c r="B37" t="s">
        <v>49</v>
      </c>
      <c r="C37">
        <v>0</v>
      </c>
      <c r="D37">
        <v>0</v>
      </c>
      <c r="E37">
        <v>1</v>
      </c>
      <c r="F37">
        <v>0</v>
      </c>
      <c r="G37">
        <v>0</v>
      </c>
      <c r="H37">
        <v>0</v>
      </c>
      <c r="I37">
        <v>0</v>
      </c>
      <c r="J37">
        <v>0</v>
      </c>
      <c r="K37">
        <v>0</v>
      </c>
      <c r="L37">
        <v>0</v>
      </c>
      <c r="M37">
        <v>0</v>
      </c>
      <c r="N37">
        <v>1</v>
      </c>
      <c r="O37">
        <v>0</v>
      </c>
      <c r="P37">
        <v>1</v>
      </c>
      <c r="Q37">
        <v>1</v>
      </c>
      <c r="R37">
        <v>1</v>
      </c>
      <c r="S37" t="s">
        <v>52</v>
      </c>
      <c r="T37">
        <v>0</v>
      </c>
      <c r="U37">
        <v>0</v>
      </c>
      <c r="V37">
        <v>0</v>
      </c>
      <c r="W37">
        <v>0</v>
      </c>
      <c r="X37">
        <v>0</v>
      </c>
      <c r="Y37">
        <v>1</v>
      </c>
      <c r="Z37" t="s">
        <v>231</v>
      </c>
      <c r="AA37">
        <v>0</v>
      </c>
      <c r="AB37">
        <v>0</v>
      </c>
      <c r="AC37">
        <v>0</v>
      </c>
      <c r="AD37">
        <v>0</v>
      </c>
      <c r="AE37">
        <v>0</v>
      </c>
      <c r="AF37">
        <v>0</v>
      </c>
      <c r="AG37">
        <v>0</v>
      </c>
      <c r="AH37">
        <v>0</v>
      </c>
      <c r="AI37">
        <v>0</v>
      </c>
      <c r="AJ37">
        <v>0</v>
      </c>
      <c r="AK37">
        <v>0</v>
      </c>
      <c r="AL37">
        <v>1</v>
      </c>
      <c r="AM37">
        <v>1</v>
      </c>
      <c r="AN37">
        <v>0</v>
      </c>
      <c r="AO37">
        <v>0</v>
      </c>
      <c r="AP37">
        <v>0</v>
      </c>
      <c r="AQ37">
        <v>0</v>
      </c>
      <c r="AR37">
        <v>0</v>
      </c>
      <c r="AS37">
        <v>0</v>
      </c>
      <c r="AT37">
        <v>0</v>
      </c>
      <c r="AU37">
        <v>0</v>
      </c>
      <c r="AV37">
        <v>0</v>
      </c>
      <c r="AW37">
        <v>2021</v>
      </c>
    </row>
    <row r="38" spans="1:49" x14ac:dyDescent="0.35">
      <c r="A38" t="s">
        <v>89</v>
      </c>
      <c r="B38" t="s">
        <v>49</v>
      </c>
      <c r="C38">
        <v>0</v>
      </c>
      <c r="D38">
        <v>0</v>
      </c>
      <c r="E38">
        <v>0</v>
      </c>
      <c r="F38">
        <v>0</v>
      </c>
      <c r="G38">
        <v>1</v>
      </c>
      <c r="H38">
        <v>0</v>
      </c>
      <c r="I38">
        <v>0</v>
      </c>
      <c r="J38">
        <v>1</v>
      </c>
      <c r="K38">
        <v>0</v>
      </c>
      <c r="L38">
        <v>0</v>
      </c>
      <c r="M38">
        <v>1</v>
      </c>
      <c r="N38">
        <v>0</v>
      </c>
      <c r="O38">
        <v>0</v>
      </c>
      <c r="P38">
        <v>1</v>
      </c>
      <c r="Q38">
        <v>0</v>
      </c>
      <c r="R38">
        <v>0</v>
      </c>
      <c r="S38" t="s">
        <v>50</v>
      </c>
      <c r="T38">
        <v>0</v>
      </c>
      <c r="U38">
        <v>0</v>
      </c>
      <c r="V38">
        <v>0</v>
      </c>
      <c r="W38">
        <v>1</v>
      </c>
      <c r="X38">
        <v>0</v>
      </c>
      <c r="Y38">
        <v>0</v>
      </c>
      <c r="Z38" t="s">
        <v>230</v>
      </c>
      <c r="AA38">
        <v>0</v>
      </c>
      <c r="AB38">
        <v>0</v>
      </c>
      <c r="AC38">
        <v>0</v>
      </c>
      <c r="AD38">
        <v>0</v>
      </c>
      <c r="AE38">
        <v>0</v>
      </c>
      <c r="AF38">
        <v>0</v>
      </c>
      <c r="AG38">
        <v>0</v>
      </c>
      <c r="AH38">
        <v>0</v>
      </c>
      <c r="AI38">
        <v>0</v>
      </c>
      <c r="AJ38">
        <v>0</v>
      </c>
      <c r="AK38">
        <v>0</v>
      </c>
      <c r="AL38">
        <v>0</v>
      </c>
      <c r="AM38">
        <v>0</v>
      </c>
      <c r="AN38">
        <v>0</v>
      </c>
      <c r="AO38">
        <v>0</v>
      </c>
      <c r="AP38">
        <v>0</v>
      </c>
      <c r="AQ38">
        <v>0</v>
      </c>
      <c r="AR38">
        <v>1</v>
      </c>
      <c r="AS38">
        <v>0</v>
      </c>
      <c r="AT38">
        <v>0</v>
      </c>
      <c r="AU38">
        <v>0</v>
      </c>
      <c r="AV38">
        <v>0</v>
      </c>
      <c r="AW38">
        <v>2021</v>
      </c>
    </row>
    <row r="39" spans="1:49" x14ac:dyDescent="0.35">
      <c r="A39" t="s">
        <v>90</v>
      </c>
      <c r="B39" t="s">
        <v>56</v>
      </c>
      <c r="C39">
        <v>1</v>
      </c>
      <c r="D39">
        <v>0</v>
      </c>
      <c r="E39">
        <v>0</v>
      </c>
      <c r="F39">
        <v>0</v>
      </c>
      <c r="G39">
        <v>0</v>
      </c>
      <c r="H39">
        <v>1</v>
      </c>
      <c r="I39">
        <v>0</v>
      </c>
      <c r="J39">
        <v>0</v>
      </c>
      <c r="K39">
        <v>0</v>
      </c>
      <c r="L39">
        <v>0</v>
      </c>
      <c r="M39">
        <v>0</v>
      </c>
      <c r="N39">
        <v>0</v>
      </c>
      <c r="O39">
        <v>0</v>
      </c>
      <c r="P39">
        <v>0</v>
      </c>
      <c r="Q39">
        <v>1</v>
      </c>
      <c r="R39">
        <v>0</v>
      </c>
      <c r="S39" t="s">
        <v>50</v>
      </c>
      <c r="T39">
        <v>1</v>
      </c>
      <c r="U39">
        <v>0</v>
      </c>
      <c r="V39">
        <v>0</v>
      </c>
      <c r="W39">
        <v>1</v>
      </c>
      <c r="X39">
        <v>0</v>
      </c>
      <c r="Y39">
        <v>0</v>
      </c>
      <c r="Z39" t="s">
        <v>231</v>
      </c>
      <c r="AA39">
        <v>0</v>
      </c>
      <c r="AB39">
        <v>0</v>
      </c>
      <c r="AC39">
        <v>0</v>
      </c>
      <c r="AD39">
        <v>0</v>
      </c>
      <c r="AE39">
        <v>0</v>
      </c>
      <c r="AF39">
        <v>0</v>
      </c>
      <c r="AG39">
        <v>1</v>
      </c>
      <c r="AH39">
        <v>1</v>
      </c>
      <c r="AI39">
        <v>0</v>
      </c>
      <c r="AJ39">
        <v>1</v>
      </c>
      <c r="AK39">
        <v>0</v>
      </c>
      <c r="AL39">
        <v>0</v>
      </c>
      <c r="AM39">
        <v>0</v>
      </c>
      <c r="AN39">
        <v>0</v>
      </c>
      <c r="AO39">
        <v>0</v>
      </c>
      <c r="AP39">
        <v>0</v>
      </c>
      <c r="AQ39">
        <v>0</v>
      </c>
      <c r="AR39">
        <v>0</v>
      </c>
      <c r="AS39">
        <v>0</v>
      </c>
      <c r="AT39">
        <v>0</v>
      </c>
      <c r="AU39">
        <v>1</v>
      </c>
      <c r="AV39">
        <v>0</v>
      </c>
      <c r="AW39">
        <v>2016</v>
      </c>
    </row>
    <row r="40" spans="1:49" x14ac:dyDescent="0.35">
      <c r="A40" t="s">
        <v>91</v>
      </c>
      <c r="B40" t="s">
        <v>56</v>
      </c>
      <c r="C40">
        <v>1</v>
      </c>
      <c r="D40">
        <v>0</v>
      </c>
      <c r="E40">
        <v>0</v>
      </c>
      <c r="F40">
        <v>0</v>
      </c>
      <c r="G40">
        <v>0</v>
      </c>
      <c r="H40">
        <v>0</v>
      </c>
      <c r="I40">
        <v>0</v>
      </c>
      <c r="J40">
        <v>1</v>
      </c>
      <c r="K40">
        <v>0</v>
      </c>
      <c r="L40">
        <v>0</v>
      </c>
      <c r="M40">
        <v>0</v>
      </c>
      <c r="N40">
        <v>0</v>
      </c>
      <c r="O40">
        <v>1</v>
      </c>
      <c r="P40">
        <v>1</v>
      </c>
      <c r="Q40">
        <v>0</v>
      </c>
      <c r="R40">
        <v>0</v>
      </c>
      <c r="S40" t="s">
        <v>50</v>
      </c>
      <c r="T40">
        <v>0</v>
      </c>
      <c r="U40">
        <v>0</v>
      </c>
      <c r="V40">
        <v>0</v>
      </c>
      <c r="W40">
        <v>0</v>
      </c>
      <c r="X40">
        <v>0</v>
      </c>
      <c r="Y40">
        <v>1</v>
      </c>
      <c r="Z40" t="s">
        <v>231</v>
      </c>
      <c r="AA40">
        <v>0</v>
      </c>
      <c r="AB40">
        <v>0</v>
      </c>
      <c r="AC40">
        <v>0</v>
      </c>
      <c r="AD40">
        <v>0</v>
      </c>
      <c r="AE40">
        <v>0</v>
      </c>
      <c r="AF40">
        <v>0</v>
      </c>
      <c r="AG40">
        <v>0</v>
      </c>
      <c r="AH40">
        <v>1</v>
      </c>
      <c r="AI40">
        <v>0</v>
      </c>
      <c r="AJ40">
        <v>0</v>
      </c>
      <c r="AK40">
        <v>0</v>
      </c>
      <c r="AL40">
        <v>1</v>
      </c>
      <c r="AM40">
        <v>0</v>
      </c>
      <c r="AN40">
        <v>0</v>
      </c>
      <c r="AO40">
        <v>1</v>
      </c>
      <c r="AP40">
        <v>0</v>
      </c>
      <c r="AQ40">
        <v>0</v>
      </c>
      <c r="AR40">
        <v>0</v>
      </c>
      <c r="AS40">
        <v>0</v>
      </c>
      <c r="AT40">
        <v>0</v>
      </c>
      <c r="AU40">
        <v>1</v>
      </c>
      <c r="AV40">
        <v>0</v>
      </c>
      <c r="AW40">
        <v>2021</v>
      </c>
    </row>
    <row r="41" spans="1:49" x14ac:dyDescent="0.35">
      <c r="A41" t="s">
        <v>92</v>
      </c>
      <c r="B41" t="s">
        <v>49</v>
      </c>
      <c r="C41">
        <v>0</v>
      </c>
      <c r="D41">
        <v>0</v>
      </c>
      <c r="E41">
        <v>0</v>
      </c>
      <c r="F41">
        <v>0</v>
      </c>
      <c r="G41">
        <v>1</v>
      </c>
      <c r="H41">
        <v>0</v>
      </c>
      <c r="I41">
        <v>0</v>
      </c>
      <c r="J41">
        <v>0</v>
      </c>
      <c r="K41">
        <v>0</v>
      </c>
      <c r="L41">
        <v>0</v>
      </c>
      <c r="M41">
        <v>0</v>
      </c>
      <c r="N41">
        <v>1</v>
      </c>
      <c r="O41">
        <v>0</v>
      </c>
      <c r="P41">
        <v>1</v>
      </c>
      <c r="Q41">
        <v>1</v>
      </c>
      <c r="R41">
        <v>1</v>
      </c>
      <c r="S41" t="s">
        <v>50</v>
      </c>
      <c r="T41">
        <v>1</v>
      </c>
      <c r="U41">
        <v>0</v>
      </c>
      <c r="V41">
        <v>0</v>
      </c>
      <c r="W41">
        <v>0</v>
      </c>
      <c r="X41">
        <v>1</v>
      </c>
      <c r="Y41">
        <v>0</v>
      </c>
      <c r="Z41" t="s">
        <v>231</v>
      </c>
      <c r="AA41">
        <v>0</v>
      </c>
      <c r="AB41">
        <v>0</v>
      </c>
      <c r="AC41">
        <v>0</v>
      </c>
      <c r="AD41">
        <v>0</v>
      </c>
      <c r="AE41">
        <v>0</v>
      </c>
      <c r="AF41">
        <v>0</v>
      </c>
      <c r="AG41">
        <v>1</v>
      </c>
      <c r="AH41">
        <v>0</v>
      </c>
      <c r="AI41">
        <v>0</v>
      </c>
      <c r="AJ41">
        <v>0</v>
      </c>
      <c r="AK41">
        <v>0</v>
      </c>
      <c r="AL41">
        <v>1</v>
      </c>
      <c r="AM41">
        <v>1</v>
      </c>
      <c r="AN41">
        <v>0</v>
      </c>
      <c r="AO41">
        <v>1</v>
      </c>
      <c r="AP41">
        <v>1</v>
      </c>
      <c r="AQ41">
        <v>0</v>
      </c>
      <c r="AR41">
        <v>0</v>
      </c>
      <c r="AS41">
        <v>1</v>
      </c>
      <c r="AT41">
        <v>0</v>
      </c>
      <c r="AU41">
        <v>1</v>
      </c>
      <c r="AV41">
        <v>0</v>
      </c>
      <c r="AW41">
        <v>2019</v>
      </c>
    </row>
    <row r="42" spans="1:49" x14ac:dyDescent="0.35">
      <c r="A42" t="s">
        <v>93</v>
      </c>
      <c r="B42" t="s">
        <v>56</v>
      </c>
      <c r="C42">
        <v>0</v>
      </c>
      <c r="D42">
        <v>0</v>
      </c>
      <c r="E42">
        <v>1</v>
      </c>
      <c r="F42">
        <v>0</v>
      </c>
      <c r="G42">
        <v>0</v>
      </c>
      <c r="H42">
        <v>0</v>
      </c>
      <c r="I42">
        <v>1</v>
      </c>
      <c r="J42">
        <v>0</v>
      </c>
      <c r="K42">
        <v>0</v>
      </c>
      <c r="L42">
        <v>0</v>
      </c>
      <c r="M42">
        <v>0</v>
      </c>
      <c r="N42">
        <v>0</v>
      </c>
      <c r="O42">
        <v>0</v>
      </c>
      <c r="P42">
        <v>1</v>
      </c>
      <c r="Q42">
        <v>1</v>
      </c>
      <c r="R42">
        <v>0</v>
      </c>
      <c r="S42" t="s">
        <v>50</v>
      </c>
      <c r="T42">
        <v>0</v>
      </c>
      <c r="U42">
        <v>0</v>
      </c>
      <c r="V42">
        <v>0</v>
      </c>
      <c r="W42">
        <v>0</v>
      </c>
      <c r="X42">
        <v>0</v>
      </c>
      <c r="Y42">
        <v>1</v>
      </c>
      <c r="Z42" t="s">
        <v>231</v>
      </c>
      <c r="AA42">
        <v>0</v>
      </c>
      <c r="AB42">
        <v>0</v>
      </c>
      <c r="AC42">
        <v>0</v>
      </c>
      <c r="AD42">
        <v>0</v>
      </c>
      <c r="AE42">
        <v>0</v>
      </c>
      <c r="AF42">
        <v>0</v>
      </c>
      <c r="AG42">
        <v>0</v>
      </c>
      <c r="AH42">
        <v>0</v>
      </c>
      <c r="AI42">
        <v>0</v>
      </c>
      <c r="AJ42">
        <v>0</v>
      </c>
      <c r="AK42">
        <v>0</v>
      </c>
      <c r="AL42">
        <v>1</v>
      </c>
      <c r="AM42">
        <v>1</v>
      </c>
      <c r="AN42">
        <v>1</v>
      </c>
      <c r="AO42">
        <v>1</v>
      </c>
      <c r="AP42">
        <v>0</v>
      </c>
      <c r="AQ42">
        <v>0</v>
      </c>
      <c r="AR42">
        <v>0</v>
      </c>
      <c r="AS42">
        <v>0</v>
      </c>
      <c r="AT42">
        <v>0</v>
      </c>
      <c r="AU42">
        <v>1</v>
      </c>
      <c r="AV42">
        <v>0</v>
      </c>
      <c r="AW42">
        <v>2020</v>
      </c>
    </row>
    <row r="43" spans="1:49" x14ac:dyDescent="0.35">
      <c r="A43" t="s">
        <v>94</v>
      </c>
      <c r="B43" t="s">
        <v>56</v>
      </c>
      <c r="C43">
        <v>1</v>
      </c>
      <c r="D43">
        <v>0</v>
      </c>
      <c r="E43">
        <v>0</v>
      </c>
      <c r="F43">
        <v>0</v>
      </c>
      <c r="G43">
        <v>0</v>
      </c>
      <c r="H43">
        <v>1</v>
      </c>
      <c r="I43">
        <v>0</v>
      </c>
      <c r="J43">
        <v>0</v>
      </c>
      <c r="K43">
        <v>0</v>
      </c>
      <c r="L43">
        <v>0</v>
      </c>
      <c r="M43">
        <v>0</v>
      </c>
      <c r="N43">
        <v>0</v>
      </c>
      <c r="O43">
        <v>1</v>
      </c>
      <c r="P43">
        <v>0</v>
      </c>
      <c r="Q43">
        <v>0</v>
      </c>
      <c r="R43">
        <v>0</v>
      </c>
      <c r="S43" t="s">
        <v>50</v>
      </c>
      <c r="T43">
        <v>0</v>
      </c>
      <c r="U43">
        <v>0</v>
      </c>
      <c r="V43">
        <v>0</v>
      </c>
      <c r="W43">
        <v>1</v>
      </c>
      <c r="X43">
        <v>0</v>
      </c>
      <c r="Y43">
        <v>0</v>
      </c>
      <c r="Z43" t="s">
        <v>230</v>
      </c>
      <c r="AA43">
        <v>0</v>
      </c>
      <c r="AB43">
        <v>0</v>
      </c>
      <c r="AC43">
        <v>0</v>
      </c>
      <c r="AD43">
        <v>0</v>
      </c>
      <c r="AE43">
        <v>0</v>
      </c>
      <c r="AF43">
        <v>1</v>
      </c>
      <c r="AG43">
        <v>0</v>
      </c>
      <c r="AH43">
        <v>0</v>
      </c>
      <c r="AI43">
        <v>0</v>
      </c>
      <c r="AJ43">
        <v>0</v>
      </c>
      <c r="AK43">
        <v>0</v>
      </c>
      <c r="AL43">
        <v>0</v>
      </c>
      <c r="AM43">
        <v>0</v>
      </c>
      <c r="AN43">
        <v>0</v>
      </c>
      <c r="AO43">
        <v>0</v>
      </c>
      <c r="AP43">
        <v>0</v>
      </c>
      <c r="AQ43">
        <v>0</v>
      </c>
      <c r="AR43">
        <v>0</v>
      </c>
      <c r="AS43">
        <v>1</v>
      </c>
      <c r="AT43">
        <v>0</v>
      </c>
      <c r="AU43">
        <v>0</v>
      </c>
      <c r="AV43">
        <v>0</v>
      </c>
      <c r="AW43">
        <v>2011</v>
      </c>
    </row>
    <row r="44" spans="1:49" x14ac:dyDescent="0.35">
      <c r="A44" t="s">
        <v>95</v>
      </c>
      <c r="B44" t="s">
        <v>49</v>
      </c>
      <c r="C44">
        <v>0</v>
      </c>
      <c r="D44">
        <v>0</v>
      </c>
      <c r="E44">
        <v>0</v>
      </c>
      <c r="F44">
        <v>0</v>
      </c>
      <c r="G44">
        <v>1</v>
      </c>
      <c r="H44">
        <v>0</v>
      </c>
      <c r="I44">
        <v>0</v>
      </c>
      <c r="J44">
        <v>0</v>
      </c>
      <c r="K44">
        <v>0</v>
      </c>
      <c r="L44">
        <v>0</v>
      </c>
      <c r="M44">
        <v>0</v>
      </c>
      <c r="N44">
        <v>1</v>
      </c>
      <c r="O44">
        <v>0</v>
      </c>
      <c r="P44">
        <v>0</v>
      </c>
      <c r="Q44">
        <v>0</v>
      </c>
      <c r="R44">
        <v>1</v>
      </c>
      <c r="S44" t="s">
        <v>50</v>
      </c>
      <c r="T44">
        <v>0</v>
      </c>
      <c r="U44">
        <v>0</v>
      </c>
      <c r="V44">
        <v>0</v>
      </c>
      <c r="W44">
        <v>0</v>
      </c>
      <c r="X44">
        <v>1</v>
      </c>
      <c r="Y44">
        <v>0</v>
      </c>
      <c r="Z44" t="s">
        <v>231</v>
      </c>
      <c r="AA44">
        <v>0</v>
      </c>
      <c r="AB44">
        <v>0</v>
      </c>
      <c r="AC44">
        <v>0</v>
      </c>
      <c r="AD44">
        <v>0</v>
      </c>
      <c r="AE44">
        <v>0</v>
      </c>
      <c r="AF44">
        <v>0</v>
      </c>
      <c r="AG44">
        <v>0</v>
      </c>
      <c r="AH44">
        <v>0</v>
      </c>
      <c r="AI44">
        <v>0</v>
      </c>
      <c r="AJ44">
        <v>0</v>
      </c>
      <c r="AK44">
        <v>0</v>
      </c>
      <c r="AL44">
        <v>1</v>
      </c>
      <c r="AM44">
        <v>0</v>
      </c>
      <c r="AN44">
        <v>0</v>
      </c>
      <c r="AO44">
        <v>1</v>
      </c>
      <c r="AP44">
        <v>0</v>
      </c>
      <c r="AQ44">
        <v>0</v>
      </c>
      <c r="AR44">
        <v>0</v>
      </c>
      <c r="AS44">
        <v>0</v>
      </c>
      <c r="AT44">
        <v>0</v>
      </c>
      <c r="AU44">
        <v>0</v>
      </c>
      <c r="AV44">
        <v>0</v>
      </c>
      <c r="AW44">
        <v>2020</v>
      </c>
    </row>
    <row r="45" spans="1:49" x14ac:dyDescent="0.35">
      <c r="A45" t="s">
        <v>96</v>
      </c>
      <c r="B45" t="s">
        <v>56</v>
      </c>
      <c r="C45">
        <v>1</v>
      </c>
      <c r="D45">
        <v>0</v>
      </c>
      <c r="E45">
        <v>1</v>
      </c>
      <c r="F45">
        <v>0</v>
      </c>
      <c r="G45">
        <v>0</v>
      </c>
      <c r="H45">
        <v>0</v>
      </c>
      <c r="I45">
        <v>0</v>
      </c>
      <c r="J45">
        <v>0</v>
      </c>
      <c r="K45">
        <v>0</v>
      </c>
      <c r="L45">
        <v>0</v>
      </c>
      <c r="M45">
        <v>0</v>
      </c>
      <c r="N45">
        <v>1</v>
      </c>
      <c r="O45">
        <v>0</v>
      </c>
      <c r="P45">
        <v>0</v>
      </c>
      <c r="Q45">
        <v>1</v>
      </c>
      <c r="R45">
        <v>0</v>
      </c>
      <c r="S45" t="s">
        <v>50</v>
      </c>
      <c r="T45">
        <v>0</v>
      </c>
      <c r="U45">
        <v>0</v>
      </c>
      <c r="V45">
        <v>0</v>
      </c>
      <c r="W45">
        <v>0</v>
      </c>
      <c r="X45">
        <v>0</v>
      </c>
      <c r="Y45">
        <v>1</v>
      </c>
      <c r="Z45" t="s">
        <v>231</v>
      </c>
      <c r="AA45">
        <v>0</v>
      </c>
      <c r="AB45">
        <v>0</v>
      </c>
      <c r="AC45">
        <v>0</v>
      </c>
      <c r="AD45">
        <v>0</v>
      </c>
      <c r="AE45">
        <v>0</v>
      </c>
      <c r="AF45">
        <v>0</v>
      </c>
      <c r="AG45">
        <v>0</v>
      </c>
      <c r="AH45">
        <v>0</v>
      </c>
      <c r="AI45">
        <v>0</v>
      </c>
      <c r="AJ45">
        <v>0</v>
      </c>
      <c r="AK45">
        <v>0</v>
      </c>
      <c r="AL45">
        <v>1</v>
      </c>
      <c r="AM45">
        <v>1</v>
      </c>
      <c r="AN45">
        <v>1</v>
      </c>
      <c r="AO45">
        <v>0</v>
      </c>
      <c r="AP45">
        <v>0</v>
      </c>
      <c r="AQ45">
        <v>0</v>
      </c>
      <c r="AR45">
        <v>0</v>
      </c>
      <c r="AS45">
        <v>0</v>
      </c>
      <c r="AT45">
        <v>0</v>
      </c>
      <c r="AU45">
        <v>1</v>
      </c>
      <c r="AV45">
        <v>0</v>
      </c>
      <c r="AW45">
        <v>2019</v>
      </c>
    </row>
    <row r="46" spans="1:49" x14ac:dyDescent="0.35">
      <c r="A46" t="s">
        <v>97</v>
      </c>
      <c r="B46" t="s">
        <v>56</v>
      </c>
      <c r="C46">
        <v>1</v>
      </c>
      <c r="D46">
        <v>0</v>
      </c>
      <c r="E46">
        <v>0</v>
      </c>
      <c r="F46">
        <v>0</v>
      </c>
      <c r="G46">
        <v>0</v>
      </c>
      <c r="H46">
        <v>1</v>
      </c>
      <c r="I46">
        <v>0</v>
      </c>
      <c r="J46">
        <v>0</v>
      </c>
      <c r="K46">
        <v>0</v>
      </c>
      <c r="L46">
        <v>0</v>
      </c>
      <c r="M46">
        <v>0</v>
      </c>
      <c r="N46">
        <v>0</v>
      </c>
      <c r="O46">
        <v>0</v>
      </c>
      <c r="P46">
        <v>0</v>
      </c>
      <c r="Q46">
        <v>1</v>
      </c>
      <c r="R46">
        <v>0</v>
      </c>
      <c r="S46" t="s">
        <v>238</v>
      </c>
      <c r="T46">
        <v>0</v>
      </c>
      <c r="U46">
        <v>0</v>
      </c>
      <c r="V46">
        <v>0</v>
      </c>
      <c r="W46">
        <v>1</v>
      </c>
      <c r="X46">
        <v>0</v>
      </c>
      <c r="Y46">
        <v>1</v>
      </c>
      <c r="Z46" t="s">
        <v>231</v>
      </c>
      <c r="AA46">
        <v>0</v>
      </c>
      <c r="AB46">
        <v>0</v>
      </c>
      <c r="AC46">
        <v>0</v>
      </c>
      <c r="AD46">
        <v>0</v>
      </c>
      <c r="AE46">
        <v>0</v>
      </c>
      <c r="AF46">
        <v>0</v>
      </c>
      <c r="AG46">
        <v>0</v>
      </c>
      <c r="AH46">
        <v>0</v>
      </c>
      <c r="AI46">
        <v>0</v>
      </c>
      <c r="AJ46">
        <v>0</v>
      </c>
      <c r="AK46">
        <v>0</v>
      </c>
      <c r="AL46">
        <v>1</v>
      </c>
      <c r="AM46">
        <v>0</v>
      </c>
      <c r="AN46">
        <v>0</v>
      </c>
      <c r="AO46">
        <v>1</v>
      </c>
      <c r="AP46">
        <v>1</v>
      </c>
      <c r="AQ46">
        <v>0</v>
      </c>
      <c r="AR46">
        <v>0</v>
      </c>
      <c r="AS46">
        <v>1</v>
      </c>
      <c r="AT46">
        <v>0</v>
      </c>
      <c r="AU46">
        <v>1</v>
      </c>
      <c r="AV46">
        <v>0</v>
      </c>
      <c r="AW46">
        <v>2018</v>
      </c>
    </row>
    <row r="47" spans="1:49" x14ac:dyDescent="0.35">
      <c r="A47" t="s">
        <v>98</v>
      </c>
      <c r="B47" t="s">
        <v>56</v>
      </c>
      <c r="C47">
        <v>0</v>
      </c>
      <c r="D47">
        <v>0</v>
      </c>
      <c r="E47">
        <v>0</v>
      </c>
      <c r="F47">
        <v>0</v>
      </c>
      <c r="G47">
        <v>1</v>
      </c>
      <c r="H47">
        <v>1</v>
      </c>
      <c r="I47">
        <v>0</v>
      </c>
      <c r="J47">
        <v>0</v>
      </c>
      <c r="K47">
        <v>0</v>
      </c>
      <c r="L47">
        <v>0</v>
      </c>
      <c r="M47">
        <v>0</v>
      </c>
      <c r="N47">
        <v>0</v>
      </c>
      <c r="O47">
        <v>1</v>
      </c>
      <c r="P47">
        <v>0</v>
      </c>
      <c r="Q47">
        <v>1</v>
      </c>
      <c r="R47">
        <v>1</v>
      </c>
      <c r="S47" t="s">
        <v>50</v>
      </c>
      <c r="T47">
        <v>0</v>
      </c>
      <c r="U47">
        <v>0</v>
      </c>
      <c r="V47">
        <v>0</v>
      </c>
      <c r="W47">
        <v>1</v>
      </c>
      <c r="X47">
        <v>0</v>
      </c>
      <c r="Y47">
        <v>1</v>
      </c>
      <c r="Z47" t="s">
        <v>232</v>
      </c>
      <c r="AA47">
        <v>0</v>
      </c>
      <c r="AB47">
        <v>0</v>
      </c>
      <c r="AC47">
        <v>0</v>
      </c>
      <c r="AD47">
        <v>0</v>
      </c>
      <c r="AE47">
        <v>0</v>
      </c>
      <c r="AF47">
        <v>0</v>
      </c>
      <c r="AG47">
        <v>0</v>
      </c>
      <c r="AH47">
        <v>0</v>
      </c>
      <c r="AI47">
        <v>0</v>
      </c>
      <c r="AJ47">
        <v>0</v>
      </c>
      <c r="AK47">
        <v>0</v>
      </c>
      <c r="AL47">
        <v>1</v>
      </c>
      <c r="AM47">
        <v>1</v>
      </c>
      <c r="AN47">
        <v>1</v>
      </c>
      <c r="AO47">
        <v>0</v>
      </c>
      <c r="AP47">
        <v>1</v>
      </c>
      <c r="AQ47">
        <v>1</v>
      </c>
      <c r="AR47">
        <v>0</v>
      </c>
      <c r="AS47">
        <v>0</v>
      </c>
      <c r="AT47">
        <v>0</v>
      </c>
      <c r="AU47">
        <v>1</v>
      </c>
      <c r="AV47">
        <v>0</v>
      </c>
      <c r="AW47">
        <v>2018</v>
      </c>
    </row>
    <row r="48" spans="1:49" x14ac:dyDescent="0.35">
      <c r="A48" t="s">
        <v>99</v>
      </c>
      <c r="B48" t="s">
        <v>56</v>
      </c>
      <c r="C48">
        <v>0</v>
      </c>
      <c r="D48">
        <v>0</v>
      </c>
      <c r="E48">
        <v>0</v>
      </c>
      <c r="F48">
        <v>0</v>
      </c>
      <c r="G48">
        <v>1</v>
      </c>
      <c r="H48">
        <v>1</v>
      </c>
      <c r="I48">
        <v>0</v>
      </c>
      <c r="J48">
        <v>0</v>
      </c>
      <c r="K48">
        <v>0</v>
      </c>
      <c r="L48">
        <v>0</v>
      </c>
      <c r="M48">
        <v>0</v>
      </c>
      <c r="N48">
        <v>0</v>
      </c>
      <c r="O48">
        <v>0</v>
      </c>
      <c r="P48">
        <v>0</v>
      </c>
      <c r="Q48">
        <v>1</v>
      </c>
      <c r="R48">
        <v>0</v>
      </c>
      <c r="S48" t="s">
        <v>50</v>
      </c>
      <c r="T48">
        <v>1</v>
      </c>
      <c r="U48">
        <v>0</v>
      </c>
      <c r="V48">
        <v>0</v>
      </c>
      <c r="W48">
        <v>0</v>
      </c>
      <c r="X48">
        <v>0</v>
      </c>
      <c r="Y48">
        <v>0</v>
      </c>
      <c r="Z48" t="s">
        <v>231</v>
      </c>
      <c r="AA48">
        <v>0</v>
      </c>
      <c r="AB48">
        <v>0</v>
      </c>
      <c r="AC48">
        <v>0</v>
      </c>
      <c r="AD48">
        <v>0</v>
      </c>
      <c r="AE48">
        <v>0</v>
      </c>
      <c r="AF48">
        <v>0</v>
      </c>
      <c r="AG48">
        <v>1</v>
      </c>
      <c r="AH48">
        <v>0</v>
      </c>
      <c r="AI48">
        <v>0</v>
      </c>
      <c r="AJ48">
        <v>1</v>
      </c>
      <c r="AK48">
        <v>0</v>
      </c>
      <c r="AL48">
        <v>0</v>
      </c>
      <c r="AM48">
        <v>0</v>
      </c>
      <c r="AN48">
        <v>0</v>
      </c>
      <c r="AO48">
        <v>0</v>
      </c>
      <c r="AP48">
        <v>0</v>
      </c>
      <c r="AQ48">
        <v>0</v>
      </c>
      <c r="AR48">
        <v>0</v>
      </c>
      <c r="AS48">
        <v>0</v>
      </c>
      <c r="AT48">
        <v>0</v>
      </c>
      <c r="AU48">
        <v>0</v>
      </c>
      <c r="AV48">
        <v>0</v>
      </c>
      <c r="AW48">
        <v>2016</v>
      </c>
    </row>
    <row r="49" spans="1:49" x14ac:dyDescent="0.35">
      <c r="A49" t="s">
        <v>100</v>
      </c>
      <c r="B49" t="s">
        <v>56</v>
      </c>
      <c r="C49">
        <v>0</v>
      </c>
      <c r="D49">
        <v>0</v>
      </c>
      <c r="E49">
        <v>0</v>
      </c>
      <c r="F49">
        <v>0</v>
      </c>
      <c r="G49">
        <v>1</v>
      </c>
      <c r="H49">
        <v>1</v>
      </c>
      <c r="I49">
        <v>0</v>
      </c>
      <c r="J49">
        <v>0</v>
      </c>
      <c r="K49">
        <v>0</v>
      </c>
      <c r="L49">
        <v>0</v>
      </c>
      <c r="M49">
        <v>0</v>
      </c>
      <c r="N49">
        <v>0</v>
      </c>
      <c r="O49">
        <v>0</v>
      </c>
      <c r="P49">
        <v>0</v>
      </c>
      <c r="Q49">
        <v>1</v>
      </c>
      <c r="R49">
        <v>0</v>
      </c>
      <c r="S49" t="s">
        <v>50</v>
      </c>
      <c r="T49">
        <v>1</v>
      </c>
      <c r="U49">
        <v>0</v>
      </c>
      <c r="V49">
        <v>0</v>
      </c>
      <c r="W49">
        <v>0</v>
      </c>
      <c r="X49">
        <v>0</v>
      </c>
      <c r="Y49">
        <v>0</v>
      </c>
      <c r="Z49" t="s">
        <v>231</v>
      </c>
      <c r="AA49">
        <v>0</v>
      </c>
      <c r="AB49">
        <v>0</v>
      </c>
      <c r="AC49">
        <v>0</v>
      </c>
      <c r="AD49">
        <v>0</v>
      </c>
      <c r="AE49">
        <v>0</v>
      </c>
      <c r="AF49">
        <v>0</v>
      </c>
      <c r="AG49">
        <v>1</v>
      </c>
      <c r="AH49">
        <v>0</v>
      </c>
      <c r="AI49">
        <v>0</v>
      </c>
      <c r="AJ49">
        <v>0</v>
      </c>
      <c r="AK49">
        <v>0</v>
      </c>
      <c r="AL49">
        <v>0</v>
      </c>
      <c r="AM49">
        <v>0</v>
      </c>
      <c r="AN49">
        <v>0</v>
      </c>
      <c r="AO49">
        <v>0</v>
      </c>
      <c r="AP49">
        <v>0</v>
      </c>
      <c r="AQ49">
        <v>0</v>
      </c>
      <c r="AR49">
        <v>0</v>
      </c>
      <c r="AS49">
        <v>1</v>
      </c>
      <c r="AT49">
        <v>0</v>
      </c>
      <c r="AU49">
        <v>0</v>
      </c>
      <c r="AV49">
        <v>0</v>
      </c>
      <c r="AW49">
        <v>2014</v>
      </c>
    </row>
    <row r="50" spans="1:49" x14ac:dyDescent="0.35">
      <c r="A50" t="s">
        <v>101</v>
      </c>
      <c r="B50" t="s">
        <v>56</v>
      </c>
      <c r="C50">
        <v>0</v>
      </c>
      <c r="D50">
        <v>0</v>
      </c>
      <c r="E50">
        <v>0</v>
      </c>
      <c r="F50">
        <v>0</v>
      </c>
      <c r="G50">
        <v>1</v>
      </c>
      <c r="H50">
        <v>1</v>
      </c>
      <c r="I50">
        <v>0</v>
      </c>
      <c r="J50">
        <v>0</v>
      </c>
      <c r="K50">
        <v>0</v>
      </c>
      <c r="L50">
        <v>0</v>
      </c>
      <c r="M50">
        <v>0</v>
      </c>
      <c r="N50">
        <v>0</v>
      </c>
      <c r="O50">
        <v>0</v>
      </c>
      <c r="P50">
        <v>0</v>
      </c>
      <c r="Q50">
        <v>1</v>
      </c>
      <c r="R50">
        <v>0</v>
      </c>
      <c r="S50" t="s">
        <v>50</v>
      </c>
      <c r="T50">
        <v>1</v>
      </c>
      <c r="U50">
        <v>0</v>
      </c>
      <c r="V50">
        <v>0</v>
      </c>
      <c r="W50">
        <v>0</v>
      </c>
      <c r="X50">
        <v>0</v>
      </c>
      <c r="Y50">
        <v>0</v>
      </c>
      <c r="Z50" t="s">
        <v>231</v>
      </c>
      <c r="AA50">
        <v>0</v>
      </c>
      <c r="AB50">
        <v>0</v>
      </c>
      <c r="AC50">
        <v>0</v>
      </c>
      <c r="AD50">
        <v>0</v>
      </c>
      <c r="AE50">
        <v>0</v>
      </c>
      <c r="AF50">
        <v>0</v>
      </c>
      <c r="AG50">
        <v>1</v>
      </c>
      <c r="AH50">
        <v>0</v>
      </c>
      <c r="AI50">
        <v>0</v>
      </c>
      <c r="AJ50">
        <v>1</v>
      </c>
      <c r="AK50">
        <v>0</v>
      </c>
      <c r="AL50">
        <v>0</v>
      </c>
      <c r="AM50">
        <v>0</v>
      </c>
      <c r="AN50">
        <v>0</v>
      </c>
      <c r="AO50">
        <v>0</v>
      </c>
      <c r="AP50">
        <v>0</v>
      </c>
      <c r="AQ50">
        <v>0</v>
      </c>
      <c r="AR50">
        <v>0</v>
      </c>
      <c r="AS50">
        <v>1</v>
      </c>
      <c r="AT50">
        <v>0</v>
      </c>
      <c r="AU50">
        <v>0</v>
      </c>
      <c r="AV50">
        <v>0</v>
      </c>
      <c r="AW50">
        <v>2016</v>
      </c>
    </row>
    <row r="51" spans="1:49" x14ac:dyDescent="0.35">
      <c r="A51" t="s">
        <v>102</v>
      </c>
      <c r="B51" t="s">
        <v>56</v>
      </c>
      <c r="C51">
        <v>0</v>
      </c>
      <c r="D51">
        <v>0</v>
      </c>
      <c r="E51">
        <v>1</v>
      </c>
      <c r="F51">
        <v>0</v>
      </c>
      <c r="G51">
        <v>0</v>
      </c>
      <c r="H51">
        <v>1</v>
      </c>
      <c r="I51">
        <v>0</v>
      </c>
      <c r="J51">
        <v>0</v>
      </c>
      <c r="K51">
        <v>0</v>
      </c>
      <c r="L51">
        <v>0</v>
      </c>
      <c r="M51">
        <v>0</v>
      </c>
      <c r="N51">
        <v>0</v>
      </c>
      <c r="O51">
        <v>1</v>
      </c>
      <c r="P51">
        <v>1</v>
      </c>
      <c r="Q51">
        <v>0</v>
      </c>
      <c r="R51">
        <v>0</v>
      </c>
      <c r="S51" t="s">
        <v>238</v>
      </c>
      <c r="T51">
        <v>0</v>
      </c>
      <c r="U51">
        <v>0</v>
      </c>
      <c r="V51">
        <v>0</v>
      </c>
      <c r="W51">
        <v>0</v>
      </c>
      <c r="X51">
        <v>0</v>
      </c>
      <c r="Y51">
        <v>1</v>
      </c>
      <c r="Z51" t="s">
        <v>231</v>
      </c>
      <c r="AA51">
        <v>0</v>
      </c>
      <c r="AB51">
        <v>0</v>
      </c>
      <c r="AC51">
        <v>0</v>
      </c>
      <c r="AD51">
        <v>0</v>
      </c>
      <c r="AE51">
        <v>0</v>
      </c>
      <c r="AF51">
        <v>0</v>
      </c>
      <c r="AG51">
        <v>0</v>
      </c>
      <c r="AH51">
        <v>1</v>
      </c>
      <c r="AI51">
        <v>0</v>
      </c>
      <c r="AJ51">
        <v>0</v>
      </c>
      <c r="AK51">
        <v>0</v>
      </c>
      <c r="AL51">
        <v>1</v>
      </c>
      <c r="AM51">
        <v>1</v>
      </c>
      <c r="AN51">
        <v>0</v>
      </c>
      <c r="AO51">
        <v>1</v>
      </c>
      <c r="AP51">
        <v>0</v>
      </c>
      <c r="AQ51">
        <v>0</v>
      </c>
      <c r="AR51">
        <v>0</v>
      </c>
      <c r="AS51">
        <v>0</v>
      </c>
      <c r="AT51">
        <v>0</v>
      </c>
      <c r="AU51">
        <v>1</v>
      </c>
      <c r="AV51">
        <v>0</v>
      </c>
      <c r="AW51">
        <v>2021</v>
      </c>
    </row>
    <row r="52" spans="1:49" x14ac:dyDescent="0.35">
      <c r="A52" t="s">
        <v>103</v>
      </c>
      <c r="B52" t="s">
        <v>56</v>
      </c>
      <c r="C52">
        <v>0</v>
      </c>
      <c r="D52">
        <v>0</v>
      </c>
      <c r="E52">
        <v>0</v>
      </c>
      <c r="F52">
        <v>0</v>
      </c>
      <c r="G52">
        <v>1</v>
      </c>
      <c r="H52">
        <v>1</v>
      </c>
      <c r="I52">
        <v>0</v>
      </c>
      <c r="J52">
        <v>0</v>
      </c>
      <c r="K52">
        <v>0</v>
      </c>
      <c r="L52">
        <v>0</v>
      </c>
      <c r="M52">
        <v>0</v>
      </c>
      <c r="N52">
        <v>0</v>
      </c>
      <c r="O52">
        <v>0</v>
      </c>
      <c r="P52">
        <v>0</v>
      </c>
      <c r="Q52">
        <v>1</v>
      </c>
      <c r="R52">
        <v>0</v>
      </c>
      <c r="S52" t="s">
        <v>50</v>
      </c>
      <c r="T52">
        <v>0</v>
      </c>
      <c r="U52">
        <v>0</v>
      </c>
      <c r="V52">
        <v>0</v>
      </c>
      <c r="W52">
        <v>0</v>
      </c>
      <c r="X52">
        <v>0</v>
      </c>
      <c r="Y52">
        <v>1</v>
      </c>
      <c r="Z52" t="s">
        <v>230</v>
      </c>
      <c r="AA52">
        <v>0</v>
      </c>
      <c r="AB52">
        <v>0</v>
      </c>
      <c r="AC52">
        <v>1</v>
      </c>
      <c r="AD52">
        <v>0</v>
      </c>
      <c r="AE52">
        <v>0</v>
      </c>
      <c r="AF52">
        <v>0</v>
      </c>
      <c r="AG52">
        <v>0</v>
      </c>
      <c r="AH52">
        <v>0</v>
      </c>
      <c r="AI52">
        <v>0</v>
      </c>
      <c r="AJ52">
        <v>0</v>
      </c>
      <c r="AK52">
        <v>0</v>
      </c>
      <c r="AL52">
        <v>1</v>
      </c>
      <c r="AM52">
        <v>1</v>
      </c>
      <c r="AN52">
        <v>1</v>
      </c>
      <c r="AO52">
        <v>0</v>
      </c>
      <c r="AP52">
        <v>1</v>
      </c>
      <c r="AQ52">
        <v>0</v>
      </c>
      <c r="AR52">
        <v>0</v>
      </c>
      <c r="AS52">
        <v>0</v>
      </c>
      <c r="AT52">
        <v>0</v>
      </c>
      <c r="AU52">
        <v>0</v>
      </c>
      <c r="AV52">
        <v>0</v>
      </c>
      <c r="AW52">
        <v>2017</v>
      </c>
    </row>
    <row r="53" spans="1:49" x14ac:dyDescent="0.35">
      <c r="A53" t="s">
        <v>104</v>
      </c>
      <c r="B53" t="s">
        <v>56</v>
      </c>
      <c r="C53">
        <v>0</v>
      </c>
      <c r="D53">
        <v>0</v>
      </c>
      <c r="E53">
        <v>0</v>
      </c>
      <c r="F53">
        <v>0</v>
      </c>
      <c r="G53">
        <v>1</v>
      </c>
      <c r="H53">
        <v>0</v>
      </c>
      <c r="I53">
        <v>0</v>
      </c>
      <c r="J53">
        <v>1</v>
      </c>
      <c r="K53">
        <v>0</v>
      </c>
      <c r="L53">
        <v>0</v>
      </c>
      <c r="M53">
        <v>0</v>
      </c>
      <c r="N53">
        <v>0</v>
      </c>
      <c r="O53">
        <v>0</v>
      </c>
      <c r="P53">
        <v>0</v>
      </c>
      <c r="Q53">
        <v>1</v>
      </c>
      <c r="R53">
        <v>1</v>
      </c>
      <c r="S53" t="s">
        <v>50</v>
      </c>
      <c r="T53">
        <v>1</v>
      </c>
      <c r="U53">
        <v>0</v>
      </c>
      <c r="V53">
        <v>0</v>
      </c>
      <c r="W53">
        <v>1</v>
      </c>
      <c r="X53">
        <v>0</v>
      </c>
      <c r="Y53">
        <v>0</v>
      </c>
      <c r="Z53" t="s">
        <v>231</v>
      </c>
      <c r="AA53">
        <v>0</v>
      </c>
      <c r="AB53">
        <v>0</v>
      </c>
      <c r="AC53">
        <v>0</v>
      </c>
      <c r="AD53">
        <v>0</v>
      </c>
      <c r="AE53">
        <v>0</v>
      </c>
      <c r="AF53">
        <v>0</v>
      </c>
      <c r="AG53">
        <v>1</v>
      </c>
      <c r="AH53">
        <v>1</v>
      </c>
      <c r="AI53">
        <v>0</v>
      </c>
      <c r="AJ53">
        <v>1</v>
      </c>
      <c r="AK53">
        <v>0</v>
      </c>
      <c r="AL53">
        <v>0</v>
      </c>
      <c r="AM53">
        <v>0</v>
      </c>
      <c r="AN53">
        <v>0</v>
      </c>
      <c r="AO53">
        <v>0</v>
      </c>
      <c r="AP53">
        <v>0</v>
      </c>
      <c r="AQ53">
        <v>0</v>
      </c>
      <c r="AR53">
        <v>0</v>
      </c>
      <c r="AS53">
        <v>0</v>
      </c>
      <c r="AT53">
        <v>0</v>
      </c>
      <c r="AU53">
        <v>0</v>
      </c>
      <c r="AV53">
        <v>0</v>
      </c>
      <c r="AW53">
        <v>2020</v>
      </c>
    </row>
    <row r="54" spans="1:49" x14ac:dyDescent="0.35">
      <c r="A54" t="s">
        <v>105</v>
      </c>
      <c r="B54" t="s">
        <v>56</v>
      </c>
      <c r="C54">
        <v>0</v>
      </c>
      <c r="D54">
        <v>0</v>
      </c>
      <c r="E54">
        <v>0</v>
      </c>
      <c r="F54">
        <v>0</v>
      </c>
      <c r="G54">
        <v>1</v>
      </c>
      <c r="H54">
        <v>1</v>
      </c>
      <c r="I54">
        <v>0</v>
      </c>
      <c r="J54">
        <v>0</v>
      </c>
      <c r="K54">
        <v>0</v>
      </c>
      <c r="L54">
        <v>0</v>
      </c>
      <c r="M54">
        <v>0</v>
      </c>
      <c r="N54">
        <v>0</v>
      </c>
      <c r="O54">
        <v>0</v>
      </c>
      <c r="P54">
        <v>0</v>
      </c>
      <c r="Q54">
        <v>0</v>
      </c>
      <c r="R54">
        <v>1</v>
      </c>
      <c r="S54" t="s">
        <v>50</v>
      </c>
      <c r="T54">
        <v>0</v>
      </c>
      <c r="U54">
        <v>0</v>
      </c>
      <c r="V54">
        <v>0</v>
      </c>
      <c r="W54">
        <v>0</v>
      </c>
      <c r="X54">
        <v>1</v>
      </c>
      <c r="Y54">
        <v>0</v>
      </c>
      <c r="Z54" t="s">
        <v>231</v>
      </c>
      <c r="AA54">
        <v>0</v>
      </c>
      <c r="AB54">
        <v>0</v>
      </c>
      <c r="AC54">
        <v>0</v>
      </c>
      <c r="AD54">
        <v>0</v>
      </c>
      <c r="AE54">
        <v>0</v>
      </c>
      <c r="AF54">
        <v>0</v>
      </c>
      <c r="AG54">
        <v>1</v>
      </c>
      <c r="AH54">
        <v>1</v>
      </c>
      <c r="AI54">
        <v>0</v>
      </c>
      <c r="AJ54">
        <v>0</v>
      </c>
      <c r="AK54">
        <v>0</v>
      </c>
      <c r="AL54">
        <v>0</v>
      </c>
      <c r="AM54">
        <v>0</v>
      </c>
      <c r="AN54">
        <v>0</v>
      </c>
      <c r="AO54">
        <v>0</v>
      </c>
      <c r="AP54">
        <v>1</v>
      </c>
      <c r="AQ54">
        <v>0</v>
      </c>
      <c r="AR54">
        <v>0</v>
      </c>
      <c r="AS54">
        <v>0</v>
      </c>
      <c r="AT54">
        <v>1</v>
      </c>
      <c r="AU54">
        <v>0</v>
      </c>
      <c r="AV54">
        <v>0</v>
      </c>
      <c r="AW54">
        <v>2019</v>
      </c>
    </row>
    <row r="55" spans="1:49" x14ac:dyDescent="0.35">
      <c r="A55" t="s">
        <v>106</v>
      </c>
      <c r="B55" t="s">
        <v>56</v>
      </c>
      <c r="C55">
        <v>0</v>
      </c>
      <c r="D55">
        <v>0</v>
      </c>
      <c r="E55">
        <v>0</v>
      </c>
      <c r="F55">
        <v>0</v>
      </c>
      <c r="G55">
        <v>1</v>
      </c>
      <c r="H55">
        <v>1</v>
      </c>
      <c r="I55">
        <v>0</v>
      </c>
      <c r="J55">
        <v>0</v>
      </c>
      <c r="K55">
        <v>0</v>
      </c>
      <c r="L55">
        <v>0</v>
      </c>
      <c r="M55">
        <v>0</v>
      </c>
      <c r="N55">
        <v>0</v>
      </c>
      <c r="O55">
        <v>0</v>
      </c>
      <c r="P55">
        <v>1</v>
      </c>
      <c r="Q55">
        <v>1</v>
      </c>
      <c r="R55">
        <v>0</v>
      </c>
      <c r="S55" t="s">
        <v>50</v>
      </c>
      <c r="T55">
        <v>0</v>
      </c>
      <c r="U55">
        <v>0</v>
      </c>
      <c r="V55">
        <v>0</v>
      </c>
      <c r="W55">
        <v>0</v>
      </c>
      <c r="X55">
        <v>0</v>
      </c>
      <c r="Y55">
        <v>1</v>
      </c>
      <c r="Z55" t="s">
        <v>231</v>
      </c>
      <c r="AA55">
        <v>0</v>
      </c>
      <c r="AB55">
        <v>0</v>
      </c>
      <c r="AC55">
        <v>0</v>
      </c>
      <c r="AD55">
        <v>0</v>
      </c>
      <c r="AE55">
        <v>0</v>
      </c>
      <c r="AF55">
        <v>0</v>
      </c>
      <c r="AG55">
        <v>0</v>
      </c>
      <c r="AH55">
        <v>0</v>
      </c>
      <c r="AI55">
        <v>0</v>
      </c>
      <c r="AJ55">
        <v>0</v>
      </c>
      <c r="AK55">
        <v>0</v>
      </c>
      <c r="AL55">
        <v>1</v>
      </c>
      <c r="AM55">
        <v>1</v>
      </c>
      <c r="AN55">
        <v>1</v>
      </c>
      <c r="AO55">
        <v>0</v>
      </c>
      <c r="AP55">
        <v>1</v>
      </c>
      <c r="AQ55">
        <v>0</v>
      </c>
      <c r="AR55">
        <v>0</v>
      </c>
      <c r="AS55">
        <v>0</v>
      </c>
      <c r="AT55">
        <v>0</v>
      </c>
      <c r="AU55">
        <v>0</v>
      </c>
      <c r="AV55">
        <v>0</v>
      </c>
      <c r="AW55">
        <v>2017</v>
      </c>
    </row>
    <row r="56" spans="1:49" x14ac:dyDescent="0.35">
      <c r="A56" t="s">
        <v>107</v>
      </c>
      <c r="B56" t="s">
        <v>56</v>
      </c>
      <c r="C56">
        <v>0</v>
      </c>
      <c r="D56">
        <v>0</v>
      </c>
      <c r="E56">
        <v>0</v>
      </c>
      <c r="F56">
        <v>0</v>
      </c>
      <c r="G56">
        <v>1</v>
      </c>
      <c r="H56">
        <v>1</v>
      </c>
      <c r="I56">
        <v>0</v>
      </c>
      <c r="J56">
        <v>0</v>
      </c>
      <c r="K56">
        <v>0</v>
      </c>
      <c r="L56">
        <v>0</v>
      </c>
      <c r="M56">
        <v>0</v>
      </c>
      <c r="N56">
        <v>0</v>
      </c>
      <c r="O56">
        <v>0</v>
      </c>
      <c r="P56">
        <v>0</v>
      </c>
      <c r="Q56">
        <v>1</v>
      </c>
      <c r="R56">
        <v>1</v>
      </c>
      <c r="S56" t="s">
        <v>50</v>
      </c>
      <c r="T56">
        <v>0</v>
      </c>
      <c r="U56">
        <v>0</v>
      </c>
      <c r="V56">
        <v>0</v>
      </c>
      <c r="W56">
        <v>1</v>
      </c>
      <c r="X56">
        <v>0</v>
      </c>
      <c r="Y56">
        <v>1</v>
      </c>
      <c r="Z56" t="s">
        <v>231</v>
      </c>
      <c r="AA56">
        <v>0</v>
      </c>
      <c r="AB56">
        <v>0</v>
      </c>
      <c r="AC56">
        <v>0</v>
      </c>
      <c r="AD56">
        <v>0</v>
      </c>
      <c r="AE56">
        <v>0</v>
      </c>
      <c r="AF56">
        <v>0</v>
      </c>
      <c r="AG56">
        <v>0</v>
      </c>
      <c r="AH56">
        <v>0</v>
      </c>
      <c r="AI56">
        <v>0</v>
      </c>
      <c r="AJ56">
        <v>1</v>
      </c>
      <c r="AK56">
        <v>0</v>
      </c>
      <c r="AL56">
        <v>0</v>
      </c>
      <c r="AM56">
        <v>1</v>
      </c>
      <c r="AN56">
        <v>0</v>
      </c>
      <c r="AO56">
        <v>0</v>
      </c>
      <c r="AP56">
        <v>1</v>
      </c>
      <c r="AQ56">
        <v>1</v>
      </c>
      <c r="AR56">
        <v>0</v>
      </c>
      <c r="AS56">
        <v>1</v>
      </c>
      <c r="AT56">
        <v>0</v>
      </c>
      <c r="AU56">
        <v>0</v>
      </c>
      <c r="AV56">
        <v>0</v>
      </c>
      <c r="AW56">
        <v>2017</v>
      </c>
    </row>
    <row r="57" spans="1:49" x14ac:dyDescent="0.35">
      <c r="A57" t="s">
        <v>108</v>
      </c>
      <c r="B57" t="s">
        <v>56</v>
      </c>
      <c r="C57">
        <v>0</v>
      </c>
      <c r="D57">
        <v>0</v>
      </c>
      <c r="E57">
        <v>0</v>
      </c>
      <c r="F57">
        <v>0</v>
      </c>
      <c r="G57">
        <v>1</v>
      </c>
      <c r="H57">
        <v>1</v>
      </c>
      <c r="I57">
        <v>0</v>
      </c>
      <c r="J57">
        <v>0</v>
      </c>
      <c r="K57">
        <v>0</v>
      </c>
      <c r="L57">
        <v>0</v>
      </c>
      <c r="M57">
        <v>0</v>
      </c>
      <c r="N57">
        <v>0</v>
      </c>
      <c r="O57">
        <v>0</v>
      </c>
      <c r="P57">
        <v>0</v>
      </c>
      <c r="Q57">
        <v>1</v>
      </c>
      <c r="R57">
        <v>1</v>
      </c>
      <c r="S57" t="s">
        <v>50</v>
      </c>
      <c r="T57">
        <v>0</v>
      </c>
      <c r="U57">
        <v>0</v>
      </c>
      <c r="V57">
        <v>0</v>
      </c>
      <c r="W57">
        <v>1</v>
      </c>
      <c r="X57">
        <v>0</v>
      </c>
      <c r="Y57">
        <v>1</v>
      </c>
      <c r="Z57" t="s">
        <v>231</v>
      </c>
      <c r="AA57">
        <v>0</v>
      </c>
      <c r="AB57">
        <v>0</v>
      </c>
      <c r="AC57">
        <v>0</v>
      </c>
      <c r="AD57">
        <v>0</v>
      </c>
      <c r="AE57">
        <v>0</v>
      </c>
      <c r="AF57">
        <v>0</v>
      </c>
      <c r="AG57">
        <v>0</v>
      </c>
      <c r="AH57">
        <v>0</v>
      </c>
      <c r="AI57">
        <v>0</v>
      </c>
      <c r="AJ57">
        <v>1</v>
      </c>
      <c r="AK57">
        <v>0</v>
      </c>
      <c r="AL57">
        <v>0</v>
      </c>
      <c r="AM57">
        <v>1</v>
      </c>
      <c r="AN57">
        <v>0</v>
      </c>
      <c r="AO57">
        <v>0</v>
      </c>
      <c r="AP57">
        <v>1</v>
      </c>
      <c r="AQ57">
        <v>1</v>
      </c>
      <c r="AR57">
        <v>0</v>
      </c>
      <c r="AS57">
        <v>1</v>
      </c>
      <c r="AT57">
        <v>0</v>
      </c>
      <c r="AU57">
        <v>0</v>
      </c>
      <c r="AV57">
        <v>0</v>
      </c>
      <c r="AW57">
        <v>2017</v>
      </c>
    </row>
    <row r="58" spans="1:49" x14ac:dyDescent="0.35">
      <c r="A58" t="s">
        <v>109</v>
      </c>
      <c r="B58" t="s">
        <v>56</v>
      </c>
      <c r="C58">
        <v>0</v>
      </c>
      <c r="D58">
        <v>0</v>
      </c>
      <c r="E58">
        <v>0</v>
      </c>
      <c r="F58">
        <v>0</v>
      </c>
      <c r="G58">
        <v>1</v>
      </c>
      <c r="H58">
        <v>1</v>
      </c>
      <c r="I58">
        <v>0</v>
      </c>
      <c r="J58">
        <v>0</v>
      </c>
      <c r="K58">
        <v>0</v>
      </c>
      <c r="L58">
        <v>0</v>
      </c>
      <c r="M58">
        <v>0</v>
      </c>
      <c r="N58">
        <v>0</v>
      </c>
      <c r="O58">
        <v>0</v>
      </c>
      <c r="P58">
        <v>0</v>
      </c>
      <c r="Q58">
        <v>1</v>
      </c>
      <c r="R58">
        <v>1</v>
      </c>
      <c r="S58" t="s">
        <v>50</v>
      </c>
      <c r="T58">
        <v>0</v>
      </c>
      <c r="U58">
        <v>0</v>
      </c>
      <c r="V58">
        <v>0</v>
      </c>
      <c r="W58">
        <v>1</v>
      </c>
      <c r="X58">
        <v>0</v>
      </c>
      <c r="Y58">
        <v>1</v>
      </c>
      <c r="Z58" t="s">
        <v>231</v>
      </c>
      <c r="AA58">
        <v>0</v>
      </c>
      <c r="AB58">
        <v>0</v>
      </c>
      <c r="AC58">
        <v>0</v>
      </c>
      <c r="AD58">
        <v>0</v>
      </c>
      <c r="AE58">
        <v>0</v>
      </c>
      <c r="AF58">
        <v>0</v>
      </c>
      <c r="AG58">
        <v>0</v>
      </c>
      <c r="AH58">
        <v>0</v>
      </c>
      <c r="AI58">
        <v>0</v>
      </c>
      <c r="AJ58">
        <v>0</v>
      </c>
      <c r="AK58">
        <v>0</v>
      </c>
      <c r="AL58">
        <v>1</v>
      </c>
      <c r="AM58">
        <v>1</v>
      </c>
      <c r="AN58">
        <v>1</v>
      </c>
      <c r="AO58">
        <v>0</v>
      </c>
      <c r="AP58">
        <v>0</v>
      </c>
      <c r="AQ58">
        <v>0</v>
      </c>
      <c r="AR58">
        <v>0</v>
      </c>
      <c r="AS58">
        <v>0</v>
      </c>
      <c r="AT58">
        <v>0</v>
      </c>
      <c r="AU58">
        <v>0</v>
      </c>
      <c r="AV58">
        <v>0</v>
      </c>
      <c r="AW58">
        <v>2017</v>
      </c>
    </row>
    <row r="59" spans="1:49" x14ac:dyDescent="0.35">
      <c r="A59" t="s">
        <v>110</v>
      </c>
      <c r="B59" t="s">
        <v>56</v>
      </c>
      <c r="C59">
        <v>0</v>
      </c>
      <c r="D59">
        <v>0</v>
      </c>
      <c r="E59">
        <v>0</v>
      </c>
      <c r="F59">
        <v>0</v>
      </c>
      <c r="G59">
        <v>1</v>
      </c>
      <c r="H59">
        <v>1</v>
      </c>
      <c r="I59">
        <v>0</v>
      </c>
      <c r="J59">
        <v>0</v>
      </c>
      <c r="K59">
        <v>0</v>
      </c>
      <c r="L59">
        <v>0</v>
      </c>
      <c r="M59">
        <v>0</v>
      </c>
      <c r="N59">
        <v>0</v>
      </c>
      <c r="O59">
        <v>0</v>
      </c>
      <c r="P59">
        <v>0</v>
      </c>
      <c r="Q59">
        <v>0</v>
      </c>
      <c r="R59">
        <v>1</v>
      </c>
      <c r="S59" t="s">
        <v>50</v>
      </c>
      <c r="T59">
        <v>0</v>
      </c>
      <c r="U59">
        <v>0</v>
      </c>
      <c r="V59">
        <v>0</v>
      </c>
      <c r="W59">
        <v>1</v>
      </c>
      <c r="X59">
        <v>0</v>
      </c>
      <c r="Y59">
        <v>0</v>
      </c>
      <c r="Z59" t="s">
        <v>231</v>
      </c>
      <c r="AA59">
        <v>0</v>
      </c>
      <c r="AB59">
        <v>0</v>
      </c>
      <c r="AC59">
        <v>0</v>
      </c>
      <c r="AD59">
        <v>0</v>
      </c>
      <c r="AE59">
        <v>0</v>
      </c>
      <c r="AF59">
        <v>0</v>
      </c>
      <c r="AG59">
        <v>0</v>
      </c>
      <c r="AH59">
        <v>0</v>
      </c>
      <c r="AI59">
        <v>0</v>
      </c>
      <c r="AJ59">
        <v>1</v>
      </c>
      <c r="AK59">
        <v>0</v>
      </c>
      <c r="AL59">
        <v>0</v>
      </c>
      <c r="AM59">
        <v>1</v>
      </c>
      <c r="AN59">
        <v>0</v>
      </c>
      <c r="AO59">
        <v>0</v>
      </c>
      <c r="AP59">
        <v>1</v>
      </c>
      <c r="AQ59">
        <v>0</v>
      </c>
      <c r="AR59">
        <v>0</v>
      </c>
      <c r="AS59">
        <v>0</v>
      </c>
      <c r="AT59">
        <v>0</v>
      </c>
      <c r="AU59">
        <v>1</v>
      </c>
      <c r="AV59">
        <v>0</v>
      </c>
      <c r="AW59">
        <v>2018</v>
      </c>
    </row>
    <row r="60" spans="1:49" x14ac:dyDescent="0.35">
      <c r="A60" t="s">
        <v>111</v>
      </c>
      <c r="B60" t="s">
        <v>56</v>
      </c>
      <c r="C60">
        <v>0</v>
      </c>
      <c r="D60">
        <v>0</v>
      </c>
      <c r="E60">
        <v>0</v>
      </c>
      <c r="F60">
        <v>0</v>
      </c>
      <c r="G60">
        <v>1</v>
      </c>
      <c r="H60">
        <v>1</v>
      </c>
      <c r="I60">
        <v>0</v>
      </c>
      <c r="J60">
        <v>0</v>
      </c>
      <c r="K60">
        <v>0</v>
      </c>
      <c r="L60">
        <v>0</v>
      </c>
      <c r="M60">
        <v>0</v>
      </c>
      <c r="N60">
        <v>0</v>
      </c>
      <c r="O60">
        <v>0</v>
      </c>
      <c r="P60">
        <v>0</v>
      </c>
      <c r="Q60">
        <v>1</v>
      </c>
      <c r="R60">
        <v>1</v>
      </c>
      <c r="S60" t="s">
        <v>50</v>
      </c>
      <c r="T60">
        <v>0</v>
      </c>
      <c r="U60">
        <v>0</v>
      </c>
      <c r="V60">
        <v>0</v>
      </c>
      <c r="W60">
        <v>1</v>
      </c>
      <c r="X60">
        <v>0</v>
      </c>
      <c r="Y60">
        <v>1</v>
      </c>
      <c r="Z60" t="s">
        <v>231</v>
      </c>
      <c r="AA60">
        <v>0</v>
      </c>
      <c r="AB60">
        <v>0</v>
      </c>
      <c r="AC60">
        <v>0</v>
      </c>
      <c r="AD60">
        <v>0</v>
      </c>
      <c r="AE60">
        <v>0</v>
      </c>
      <c r="AF60">
        <v>0</v>
      </c>
      <c r="AG60">
        <v>0</v>
      </c>
      <c r="AH60">
        <v>1</v>
      </c>
      <c r="AI60">
        <v>0</v>
      </c>
      <c r="AJ60">
        <v>0</v>
      </c>
      <c r="AK60">
        <v>0</v>
      </c>
      <c r="AL60">
        <v>0</v>
      </c>
      <c r="AM60">
        <v>0</v>
      </c>
      <c r="AN60">
        <v>0</v>
      </c>
      <c r="AO60">
        <v>0</v>
      </c>
      <c r="AP60">
        <v>0</v>
      </c>
      <c r="AQ60">
        <v>0</v>
      </c>
      <c r="AR60">
        <v>0</v>
      </c>
      <c r="AS60">
        <v>1</v>
      </c>
      <c r="AT60">
        <v>0</v>
      </c>
      <c r="AU60">
        <v>0</v>
      </c>
      <c r="AV60">
        <v>0</v>
      </c>
      <c r="AW60">
        <v>2012</v>
      </c>
    </row>
    <row r="61" spans="1:49" x14ac:dyDescent="0.35">
      <c r="A61" t="s">
        <v>112</v>
      </c>
      <c r="B61" t="s">
        <v>56</v>
      </c>
      <c r="C61">
        <v>0</v>
      </c>
      <c r="D61">
        <v>0</v>
      </c>
      <c r="E61">
        <v>0</v>
      </c>
      <c r="F61">
        <v>0</v>
      </c>
      <c r="G61">
        <v>1</v>
      </c>
      <c r="H61">
        <v>1</v>
      </c>
      <c r="I61">
        <v>0</v>
      </c>
      <c r="J61">
        <v>0</v>
      </c>
      <c r="K61">
        <v>0</v>
      </c>
      <c r="L61">
        <v>0</v>
      </c>
      <c r="M61">
        <v>0</v>
      </c>
      <c r="N61">
        <v>0</v>
      </c>
      <c r="O61">
        <v>0</v>
      </c>
      <c r="P61">
        <v>0</v>
      </c>
      <c r="Q61">
        <v>1</v>
      </c>
      <c r="R61">
        <v>1</v>
      </c>
      <c r="S61" t="s">
        <v>50</v>
      </c>
      <c r="T61">
        <v>1</v>
      </c>
      <c r="U61">
        <v>0</v>
      </c>
      <c r="V61">
        <v>0</v>
      </c>
      <c r="W61">
        <v>0</v>
      </c>
      <c r="X61">
        <v>0</v>
      </c>
      <c r="Y61">
        <v>0</v>
      </c>
      <c r="Z61" t="s">
        <v>230</v>
      </c>
      <c r="AA61">
        <v>0</v>
      </c>
      <c r="AB61">
        <v>0</v>
      </c>
      <c r="AC61">
        <v>0</v>
      </c>
      <c r="AD61">
        <v>0</v>
      </c>
      <c r="AE61">
        <v>0</v>
      </c>
      <c r="AF61">
        <v>1</v>
      </c>
      <c r="AG61">
        <v>1</v>
      </c>
      <c r="AH61">
        <v>0</v>
      </c>
      <c r="AI61">
        <v>0</v>
      </c>
      <c r="AJ61">
        <v>1</v>
      </c>
      <c r="AK61">
        <v>0</v>
      </c>
      <c r="AL61">
        <v>1</v>
      </c>
      <c r="AM61">
        <v>1</v>
      </c>
      <c r="AN61">
        <v>0</v>
      </c>
      <c r="AO61">
        <v>0</v>
      </c>
      <c r="AP61">
        <v>0</v>
      </c>
      <c r="AQ61">
        <v>0</v>
      </c>
      <c r="AR61">
        <v>0</v>
      </c>
      <c r="AS61">
        <v>1</v>
      </c>
      <c r="AT61">
        <v>0</v>
      </c>
      <c r="AU61">
        <v>1</v>
      </c>
      <c r="AV61">
        <v>0</v>
      </c>
      <c r="AW61">
        <v>2021</v>
      </c>
    </row>
    <row r="62" spans="1:49" x14ac:dyDescent="0.35">
      <c r="A62" t="s">
        <v>113</v>
      </c>
      <c r="B62" t="s">
        <v>49</v>
      </c>
      <c r="C62">
        <v>0</v>
      </c>
      <c r="D62">
        <v>0</v>
      </c>
      <c r="E62">
        <v>0</v>
      </c>
      <c r="F62">
        <v>0</v>
      </c>
      <c r="G62">
        <v>1</v>
      </c>
      <c r="H62">
        <v>0</v>
      </c>
      <c r="I62">
        <v>0</v>
      </c>
      <c r="J62">
        <v>0</v>
      </c>
      <c r="K62">
        <v>1</v>
      </c>
      <c r="L62">
        <v>0</v>
      </c>
      <c r="M62">
        <v>0</v>
      </c>
      <c r="N62">
        <v>0</v>
      </c>
      <c r="O62">
        <v>1</v>
      </c>
      <c r="P62">
        <v>0</v>
      </c>
      <c r="Q62">
        <v>1</v>
      </c>
      <c r="R62">
        <v>1</v>
      </c>
      <c r="S62" t="s">
        <v>52</v>
      </c>
      <c r="T62">
        <v>0</v>
      </c>
      <c r="U62">
        <v>0</v>
      </c>
      <c r="V62">
        <v>0</v>
      </c>
      <c r="W62">
        <v>0</v>
      </c>
      <c r="X62">
        <v>1</v>
      </c>
      <c r="Y62">
        <v>0</v>
      </c>
      <c r="Z62" t="s">
        <v>232</v>
      </c>
      <c r="AA62">
        <v>0</v>
      </c>
      <c r="AB62">
        <v>0</v>
      </c>
      <c r="AC62">
        <v>0</v>
      </c>
      <c r="AD62">
        <v>0</v>
      </c>
      <c r="AE62">
        <v>0</v>
      </c>
      <c r="AF62">
        <v>0</v>
      </c>
      <c r="AG62">
        <v>0</v>
      </c>
      <c r="AH62">
        <v>0</v>
      </c>
      <c r="AI62">
        <v>0</v>
      </c>
      <c r="AJ62">
        <v>0</v>
      </c>
      <c r="AK62">
        <v>0</v>
      </c>
      <c r="AL62">
        <v>1</v>
      </c>
      <c r="AM62">
        <v>0</v>
      </c>
      <c r="AN62">
        <v>0</v>
      </c>
      <c r="AO62">
        <v>0</v>
      </c>
      <c r="AP62">
        <v>0</v>
      </c>
      <c r="AQ62">
        <v>0</v>
      </c>
      <c r="AR62">
        <v>0</v>
      </c>
      <c r="AS62">
        <v>1</v>
      </c>
      <c r="AT62">
        <v>0</v>
      </c>
      <c r="AU62">
        <v>0</v>
      </c>
      <c r="AV62">
        <v>0</v>
      </c>
      <c r="AW62">
        <v>2020</v>
      </c>
    </row>
    <row r="63" spans="1:49" x14ac:dyDescent="0.35">
      <c r="A63" t="s">
        <v>114</v>
      </c>
      <c r="B63" t="s">
        <v>66</v>
      </c>
      <c r="C63">
        <v>1</v>
      </c>
      <c r="D63">
        <v>0</v>
      </c>
      <c r="E63">
        <v>0</v>
      </c>
      <c r="F63">
        <v>0</v>
      </c>
      <c r="G63">
        <v>0</v>
      </c>
      <c r="H63">
        <v>0</v>
      </c>
      <c r="I63">
        <v>0</v>
      </c>
      <c r="J63">
        <v>0</v>
      </c>
      <c r="K63">
        <v>1</v>
      </c>
      <c r="L63">
        <v>0</v>
      </c>
      <c r="M63">
        <v>0</v>
      </c>
      <c r="N63">
        <v>0</v>
      </c>
      <c r="O63">
        <v>1</v>
      </c>
      <c r="P63">
        <v>1</v>
      </c>
      <c r="Q63">
        <v>0</v>
      </c>
      <c r="R63">
        <v>0</v>
      </c>
      <c r="S63" t="s">
        <v>235</v>
      </c>
      <c r="T63">
        <v>0</v>
      </c>
      <c r="U63">
        <v>0</v>
      </c>
      <c r="V63">
        <v>0</v>
      </c>
      <c r="W63">
        <v>1</v>
      </c>
      <c r="X63">
        <v>0</v>
      </c>
      <c r="Y63">
        <v>0</v>
      </c>
      <c r="Z63" t="s">
        <v>231</v>
      </c>
      <c r="AA63">
        <v>0</v>
      </c>
      <c r="AB63">
        <v>0</v>
      </c>
      <c r="AC63">
        <v>0</v>
      </c>
      <c r="AD63">
        <v>0</v>
      </c>
      <c r="AE63">
        <v>0</v>
      </c>
      <c r="AF63">
        <v>1</v>
      </c>
      <c r="AG63">
        <v>1</v>
      </c>
      <c r="AH63">
        <v>1</v>
      </c>
      <c r="AI63">
        <v>0</v>
      </c>
      <c r="AJ63">
        <v>0</v>
      </c>
      <c r="AK63">
        <v>0</v>
      </c>
      <c r="AL63">
        <v>0</v>
      </c>
      <c r="AM63">
        <v>0</v>
      </c>
      <c r="AN63">
        <v>0</v>
      </c>
      <c r="AO63">
        <v>0</v>
      </c>
      <c r="AP63">
        <v>0</v>
      </c>
      <c r="AQ63">
        <v>0</v>
      </c>
      <c r="AR63">
        <v>0</v>
      </c>
      <c r="AS63">
        <v>0</v>
      </c>
      <c r="AT63">
        <v>0</v>
      </c>
      <c r="AU63">
        <v>0</v>
      </c>
      <c r="AV63">
        <v>0</v>
      </c>
      <c r="AW63">
        <v>2021</v>
      </c>
    </row>
    <row r="64" spans="1:49" x14ac:dyDescent="0.35">
      <c r="A64" t="s">
        <v>115</v>
      </c>
      <c r="B64" t="s">
        <v>49</v>
      </c>
      <c r="C64">
        <v>0</v>
      </c>
      <c r="D64">
        <v>0</v>
      </c>
      <c r="E64">
        <v>0</v>
      </c>
      <c r="F64">
        <v>0</v>
      </c>
      <c r="G64">
        <v>1</v>
      </c>
      <c r="H64">
        <v>0</v>
      </c>
      <c r="I64">
        <v>0</v>
      </c>
      <c r="J64">
        <v>0</v>
      </c>
      <c r="K64">
        <v>1</v>
      </c>
      <c r="L64">
        <v>0</v>
      </c>
      <c r="M64">
        <v>0</v>
      </c>
      <c r="N64">
        <v>0</v>
      </c>
      <c r="O64">
        <v>1</v>
      </c>
      <c r="P64">
        <v>0</v>
      </c>
      <c r="Q64">
        <v>0</v>
      </c>
      <c r="R64">
        <v>0</v>
      </c>
      <c r="S64" t="s">
        <v>50</v>
      </c>
      <c r="T64">
        <v>0</v>
      </c>
      <c r="U64">
        <v>1</v>
      </c>
      <c r="V64">
        <v>0</v>
      </c>
      <c r="W64">
        <v>0</v>
      </c>
      <c r="X64">
        <v>0</v>
      </c>
      <c r="Y64">
        <v>0</v>
      </c>
      <c r="Z64" t="s">
        <v>230</v>
      </c>
      <c r="AA64">
        <v>0</v>
      </c>
      <c r="AB64">
        <v>0</v>
      </c>
      <c r="AC64">
        <v>1</v>
      </c>
      <c r="AD64">
        <v>0</v>
      </c>
      <c r="AE64">
        <v>0</v>
      </c>
      <c r="AF64">
        <v>0</v>
      </c>
      <c r="AG64">
        <v>0</v>
      </c>
      <c r="AH64">
        <v>0</v>
      </c>
      <c r="AI64">
        <v>0</v>
      </c>
      <c r="AJ64">
        <v>0</v>
      </c>
      <c r="AK64">
        <v>0</v>
      </c>
      <c r="AL64">
        <v>0</v>
      </c>
      <c r="AM64">
        <v>0</v>
      </c>
      <c r="AN64">
        <v>0</v>
      </c>
      <c r="AO64">
        <v>0</v>
      </c>
      <c r="AP64">
        <v>0</v>
      </c>
      <c r="AQ64">
        <v>0</v>
      </c>
      <c r="AR64">
        <v>0</v>
      </c>
      <c r="AS64">
        <v>0</v>
      </c>
      <c r="AT64">
        <v>0</v>
      </c>
      <c r="AU64">
        <v>0</v>
      </c>
      <c r="AV64">
        <v>0</v>
      </c>
      <c r="AW64">
        <v>2019</v>
      </c>
    </row>
    <row r="65" spans="1:49" x14ac:dyDescent="0.35">
      <c r="A65" t="s">
        <v>116</v>
      </c>
      <c r="B65" t="s">
        <v>49</v>
      </c>
      <c r="C65">
        <v>0</v>
      </c>
      <c r="D65">
        <v>0</v>
      </c>
      <c r="E65">
        <v>0</v>
      </c>
      <c r="F65">
        <v>0</v>
      </c>
      <c r="G65">
        <v>1</v>
      </c>
      <c r="H65">
        <v>0</v>
      </c>
      <c r="I65">
        <v>0</v>
      </c>
      <c r="J65">
        <v>0</v>
      </c>
      <c r="K65">
        <v>0</v>
      </c>
      <c r="L65">
        <v>0</v>
      </c>
      <c r="M65">
        <v>0</v>
      </c>
      <c r="N65">
        <v>1</v>
      </c>
      <c r="O65">
        <v>1</v>
      </c>
      <c r="P65">
        <v>1</v>
      </c>
      <c r="Q65">
        <v>1</v>
      </c>
      <c r="R65">
        <v>1</v>
      </c>
      <c r="S65" t="s">
        <v>52</v>
      </c>
      <c r="T65">
        <v>0</v>
      </c>
      <c r="U65">
        <v>0</v>
      </c>
      <c r="V65">
        <v>0</v>
      </c>
      <c r="W65">
        <v>0</v>
      </c>
      <c r="X65">
        <v>1</v>
      </c>
      <c r="Y65">
        <v>0</v>
      </c>
      <c r="Z65" t="s">
        <v>232</v>
      </c>
      <c r="AA65">
        <v>0</v>
      </c>
      <c r="AB65">
        <v>0</v>
      </c>
      <c r="AC65">
        <v>0</v>
      </c>
      <c r="AD65">
        <v>0</v>
      </c>
      <c r="AE65">
        <v>0</v>
      </c>
      <c r="AF65">
        <v>0</v>
      </c>
      <c r="AG65">
        <v>0</v>
      </c>
      <c r="AH65">
        <v>0</v>
      </c>
      <c r="AI65">
        <v>0</v>
      </c>
      <c r="AJ65">
        <v>0</v>
      </c>
      <c r="AK65">
        <v>0</v>
      </c>
      <c r="AL65">
        <v>0</v>
      </c>
      <c r="AM65">
        <v>0</v>
      </c>
      <c r="AN65">
        <v>0</v>
      </c>
      <c r="AO65">
        <v>0</v>
      </c>
      <c r="AP65">
        <v>0</v>
      </c>
      <c r="AQ65">
        <v>0</v>
      </c>
      <c r="AR65">
        <v>0</v>
      </c>
      <c r="AS65">
        <v>0</v>
      </c>
      <c r="AT65">
        <v>0</v>
      </c>
      <c r="AU65">
        <v>0</v>
      </c>
      <c r="AV65">
        <v>1</v>
      </c>
      <c r="AW65">
        <v>2021</v>
      </c>
    </row>
    <row r="66" spans="1:49" x14ac:dyDescent="0.35">
      <c r="A66" t="s">
        <v>117</v>
      </c>
      <c r="B66" t="s">
        <v>49</v>
      </c>
      <c r="C66">
        <v>0</v>
      </c>
      <c r="D66">
        <v>0</v>
      </c>
      <c r="E66">
        <v>0</v>
      </c>
      <c r="F66">
        <v>0</v>
      </c>
      <c r="G66">
        <v>1</v>
      </c>
      <c r="H66">
        <v>0</v>
      </c>
      <c r="I66">
        <v>0</v>
      </c>
      <c r="J66">
        <v>0</v>
      </c>
      <c r="K66">
        <v>0</v>
      </c>
      <c r="L66">
        <v>0</v>
      </c>
      <c r="M66">
        <v>0</v>
      </c>
      <c r="N66">
        <v>1</v>
      </c>
      <c r="O66">
        <v>0</v>
      </c>
      <c r="P66">
        <v>0</v>
      </c>
      <c r="Q66">
        <v>0</v>
      </c>
      <c r="R66">
        <v>1</v>
      </c>
      <c r="S66" t="s">
        <v>52</v>
      </c>
      <c r="T66">
        <v>0</v>
      </c>
      <c r="U66">
        <v>0</v>
      </c>
      <c r="V66">
        <v>0</v>
      </c>
      <c r="W66">
        <v>0</v>
      </c>
      <c r="X66">
        <v>1</v>
      </c>
      <c r="Y66">
        <v>0</v>
      </c>
      <c r="Z66" t="s">
        <v>232</v>
      </c>
      <c r="AA66">
        <v>0</v>
      </c>
      <c r="AB66">
        <v>0</v>
      </c>
      <c r="AC66">
        <v>0</v>
      </c>
      <c r="AD66">
        <v>0</v>
      </c>
      <c r="AE66">
        <v>0</v>
      </c>
      <c r="AF66">
        <v>0</v>
      </c>
      <c r="AG66">
        <v>0</v>
      </c>
      <c r="AH66">
        <v>0</v>
      </c>
      <c r="AI66">
        <v>0</v>
      </c>
      <c r="AJ66">
        <v>0</v>
      </c>
      <c r="AK66">
        <v>0</v>
      </c>
      <c r="AL66">
        <v>0</v>
      </c>
      <c r="AM66">
        <v>0</v>
      </c>
      <c r="AN66">
        <v>0</v>
      </c>
      <c r="AO66">
        <v>0</v>
      </c>
      <c r="AP66">
        <v>0</v>
      </c>
      <c r="AQ66">
        <v>0</v>
      </c>
      <c r="AR66">
        <v>0</v>
      </c>
      <c r="AS66">
        <v>0</v>
      </c>
      <c r="AT66">
        <v>0</v>
      </c>
      <c r="AU66">
        <v>0</v>
      </c>
      <c r="AV66">
        <v>1</v>
      </c>
      <c r="AW66">
        <v>2017</v>
      </c>
    </row>
    <row r="67" spans="1:49" x14ac:dyDescent="0.35">
      <c r="A67" t="s">
        <v>118</v>
      </c>
      <c r="B67" t="s">
        <v>56</v>
      </c>
      <c r="C67">
        <v>0</v>
      </c>
      <c r="D67">
        <v>0</v>
      </c>
      <c r="E67">
        <v>0</v>
      </c>
      <c r="F67">
        <v>0</v>
      </c>
      <c r="G67">
        <v>1</v>
      </c>
      <c r="H67">
        <v>0</v>
      </c>
      <c r="I67">
        <v>0</v>
      </c>
      <c r="J67">
        <v>0</v>
      </c>
      <c r="K67">
        <v>0</v>
      </c>
      <c r="L67">
        <v>0</v>
      </c>
      <c r="M67">
        <v>0</v>
      </c>
      <c r="N67">
        <v>1</v>
      </c>
      <c r="O67">
        <v>1</v>
      </c>
      <c r="P67">
        <v>0</v>
      </c>
      <c r="Q67">
        <v>1</v>
      </c>
      <c r="R67">
        <v>0</v>
      </c>
      <c r="S67" t="s">
        <v>52</v>
      </c>
      <c r="T67">
        <v>1</v>
      </c>
      <c r="U67">
        <v>0</v>
      </c>
      <c r="V67">
        <v>0</v>
      </c>
      <c r="W67">
        <v>1</v>
      </c>
      <c r="X67">
        <v>0</v>
      </c>
      <c r="Y67">
        <v>0</v>
      </c>
      <c r="Z67" t="s">
        <v>230</v>
      </c>
      <c r="AA67">
        <v>0</v>
      </c>
      <c r="AB67">
        <v>1</v>
      </c>
      <c r="AC67">
        <v>1</v>
      </c>
      <c r="AD67">
        <v>0</v>
      </c>
      <c r="AE67">
        <v>0</v>
      </c>
      <c r="AF67">
        <v>0</v>
      </c>
      <c r="AG67">
        <v>0</v>
      </c>
      <c r="AH67">
        <v>0</v>
      </c>
      <c r="AI67">
        <v>0</v>
      </c>
      <c r="AJ67">
        <v>0</v>
      </c>
      <c r="AK67">
        <v>0</v>
      </c>
      <c r="AL67">
        <v>0</v>
      </c>
      <c r="AM67">
        <v>0</v>
      </c>
      <c r="AN67">
        <v>0</v>
      </c>
      <c r="AO67">
        <v>0</v>
      </c>
      <c r="AP67">
        <v>0</v>
      </c>
      <c r="AQ67">
        <v>0</v>
      </c>
      <c r="AR67">
        <v>0</v>
      </c>
      <c r="AS67">
        <v>0</v>
      </c>
      <c r="AT67">
        <v>0</v>
      </c>
      <c r="AU67">
        <v>0</v>
      </c>
      <c r="AV67">
        <v>0</v>
      </c>
      <c r="AW67">
        <v>2020</v>
      </c>
    </row>
    <row r="68" spans="1:49" x14ac:dyDescent="0.35">
      <c r="A68" t="s">
        <v>119</v>
      </c>
      <c r="B68" t="s">
        <v>56</v>
      </c>
      <c r="C68">
        <v>0</v>
      </c>
      <c r="D68">
        <v>0</v>
      </c>
      <c r="E68">
        <v>0</v>
      </c>
      <c r="F68">
        <v>0</v>
      </c>
      <c r="G68">
        <v>1</v>
      </c>
      <c r="H68">
        <v>1</v>
      </c>
      <c r="I68">
        <v>0</v>
      </c>
      <c r="J68">
        <v>0</v>
      </c>
      <c r="K68">
        <v>0</v>
      </c>
      <c r="L68">
        <v>0</v>
      </c>
      <c r="M68">
        <v>0</v>
      </c>
      <c r="N68">
        <v>0</v>
      </c>
      <c r="O68">
        <v>1</v>
      </c>
      <c r="P68">
        <v>1</v>
      </c>
      <c r="Q68">
        <v>1</v>
      </c>
      <c r="R68">
        <v>1</v>
      </c>
      <c r="S68" t="s">
        <v>238</v>
      </c>
      <c r="T68">
        <v>1</v>
      </c>
      <c r="U68">
        <v>0</v>
      </c>
      <c r="V68">
        <v>0</v>
      </c>
      <c r="W68">
        <v>0</v>
      </c>
      <c r="X68">
        <v>1</v>
      </c>
      <c r="Y68">
        <v>0</v>
      </c>
      <c r="Z68" t="s">
        <v>230</v>
      </c>
      <c r="AA68">
        <v>0</v>
      </c>
      <c r="AB68">
        <v>1</v>
      </c>
      <c r="AC68">
        <v>0</v>
      </c>
      <c r="AD68">
        <v>0</v>
      </c>
      <c r="AE68">
        <v>0</v>
      </c>
      <c r="AF68">
        <v>0</v>
      </c>
      <c r="AG68">
        <v>1</v>
      </c>
      <c r="AH68">
        <v>1</v>
      </c>
      <c r="AI68">
        <v>0</v>
      </c>
      <c r="AJ68">
        <v>0</v>
      </c>
      <c r="AK68">
        <v>0</v>
      </c>
      <c r="AL68">
        <v>0</v>
      </c>
      <c r="AM68">
        <v>0</v>
      </c>
      <c r="AN68">
        <v>0</v>
      </c>
      <c r="AO68">
        <v>0</v>
      </c>
      <c r="AP68">
        <v>0</v>
      </c>
      <c r="AQ68">
        <v>0</v>
      </c>
      <c r="AR68">
        <v>0</v>
      </c>
      <c r="AS68">
        <v>1</v>
      </c>
      <c r="AT68">
        <v>0</v>
      </c>
      <c r="AU68">
        <v>0</v>
      </c>
      <c r="AV68">
        <v>0</v>
      </c>
      <c r="AW68">
        <v>2021</v>
      </c>
    </row>
    <row r="69" spans="1:49" x14ac:dyDescent="0.35">
      <c r="A69" t="s">
        <v>120</v>
      </c>
      <c r="B69" t="s">
        <v>66</v>
      </c>
      <c r="C69">
        <v>0</v>
      </c>
      <c r="D69">
        <v>0</v>
      </c>
      <c r="E69">
        <v>0</v>
      </c>
      <c r="F69">
        <v>0</v>
      </c>
      <c r="G69">
        <v>1</v>
      </c>
      <c r="H69">
        <v>0</v>
      </c>
      <c r="I69">
        <v>0</v>
      </c>
      <c r="J69">
        <v>1</v>
      </c>
      <c r="K69">
        <v>0</v>
      </c>
      <c r="L69">
        <v>0</v>
      </c>
      <c r="M69">
        <v>0</v>
      </c>
      <c r="N69">
        <v>0</v>
      </c>
      <c r="O69">
        <v>0</v>
      </c>
      <c r="P69">
        <v>1</v>
      </c>
      <c r="Q69">
        <v>0</v>
      </c>
      <c r="R69">
        <v>1</v>
      </c>
      <c r="S69" t="s">
        <v>238</v>
      </c>
      <c r="T69">
        <v>0</v>
      </c>
      <c r="U69">
        <v>0</v>
      </c>
      <c r="V69">
        <v>0</v>
      </c>
      <c r="W69">
        <v>1</v>
      </c>
      <c r="X69">
        <v>0</v>
      </c>
      <c r="Y69">
        <v>1</v>
      </c>
      <c r="Z69" t="s">
        <v>230</v>
      </c>
      <c r="AA69">
        <v>0</v>
      </c>
      <c r="AB69">
        <v>0</v>
      </c>
      <c r="AC69">
        <v>0</v>
      </c>
      <c r="AD69">
        <v>0</v>
      </c>
      <c r="AE69">
        <v>0</v>
      </c>
      <c r="AF69">
        <v>0</v>
      </c>
      <c r="AG69">
        <v>0</v>
      </c>
      <c r="AH69">
        <v>0</v>
      </c>
      <c r="AI69">
        <v>0</v>
      </c>
      <c r="AJ69">
        <v>0</v>
      </c>
      <c r="AK69">
        <v>0</v>
      </c>
      <c r="AL69">
        <v>0</v>
      </c>
      <c r="AM69">
        <v>0</v>
      </c>
      <c r="AN69">
        <v>0</v>
      </c>
      <c r="AO69">
        <v>0</v>
      </c>
      <c r="AP69">
        <v>0</v>
      </c>
      <c r="AQ69">
        <v>0</v>
      </c>
      <c r="AR69">
        <v>0</v>
      </c>
      <c r="AS69">
        <v>1</v>
      </c>
      <c r="AT69">
        <v>0</v>
      </c>
      <c r="AU69">
        <v>0</v>
      </c>
      <c r="AV69">
        <v>0</v>
      </c>
      <c r="AW69">
        <v>2021</v>
      </c>
    </row>
    <row r="70" spans="1:49" x14ac:dyDescent="0.35">
      <c r="A70" t="s">
        <v>121</v>
      </c>
      <c r="B70" t="s">
        <v>56</v>
      </c>
      <c r="C70">
        <v>1</v>
      </c>
      <c r="D70">
        <v>0</v>
      </c>
      <c r="E70">
        <v>1</v>
      </c>
      <c r="F70">
        <v>0</v>
      </c>
      <c r="G70">
        <v>0</v>
      </c>
      <c r="H70">
        <v>0</v>
      </c>
      <c r="I70">
        <v>0</v>
      </c>
      <c r="J70">
        <v>1</v>
      </c>
      <c r="K70">
        <v>0</v>
      </c>
      <c r="L70">
        <v>0</v>
      </c>
      <c r="M70">
        <v>0</v>
      </c>
      <c r="N70">
        <v>0</v>
      </c>
      <c r="O70">
        <v>1</v>
      </c>
      <c r="P70">
        <v>1</v>
      </c>
      <c r="Q70">
        <v>1</v>
      </c>
      <c r="R70">
        <v>0</v>
      </c>
      <c r="S70" t="s">
        <v>50</v>
      </c>
      <c r="T70">
        <v>0</v>
      </c>
      <c r="U70">
        <v>0</v>
      </c>
      <c r="V70">
        <v>0</v>
      </c>
      <c r="W70">
        <v>1</v>
      </c>
      <c r="X70">
        <v>0</v>
      </c>
      <c r="Y70">
        <v>0</v>
      </c>
      <c r="Z70" t="s">
        <v>230</v>
      </c>
      <c r="AA70">
        <v>0</v>
      </c>
      <c r="AB70">
        <v>0</v>
      </c>
      <c r="AC70">
        <v>0</v>
      </c>
      <c r="AD70">
        <v>0</v>
      </c>
      <c r="AE70">
        <v>0</v>
      </c>
      <c r="AF70">
        <v>1</v>
      </c>
      <c r="AG70">
        <v>0</v>
      </c>
      <c r="AH70">
        <v>0</v>
      </c>
      <c r="AI70">
        <v>0</v>
      </c>
      <c r="AJ70">
        <v>0</v>
      </c>
      <c r="AK70">
        <v>0</v>
      </c>
      <c r="AL70">
        <v>0</v>
      </c>
      <c r="AM70">
        <v>0</v>
      </c>
      <c r="AN70">
        <v>0</v>
      </c>
      <c r="AO70">
        <v>0</v>
      </c>
      <c r="AP70">
        <v>0</v>
      </c>
      <c r="AQ70">
        <v>0</v>
      </c>
      <c r="AR70">
        <v>0</v>
      </c>
      <c r="AS70">
        <v>1</v>
      </c>
      <c r="AT70">
        <v>0</v>
      </c>
      <c r="AU70">
        <v>0</v>
      </c>
      <c r="AV70">
        <v>0</v>
      </c>
      <c r="AW70">
        <v>2014</v>
      </c>
    </row>
    <row r="71" spans="1:49" x14ac:dyDescent="0.35">
      <c r="A71" t="s">
        <v>122</v>
      </c>
      <c r="B71" t="s">
        <v>56</v>
      </c>
      <c r="C71">
        <v>0</v>
      </c>
      <c r="D71">
        <v>0</v>
      </c>
      <c r="E71">
        <v>0</v>
      </c>
      <c r="F71">
        <v>0</v>
      </c>
      <c r="G71">
        <v>1</v>
      </c>
      <c r="H71">
        <v>1</v>
      </c>
      <c r="I71">
        <v>0</v>
      </c>
      <c r="J71">
        <v>0</v>
      </c>
      <c r="K71">
        <v>0</v>
      </c>
      <c r="L71">
        <v>0</v>
      </c>
      <c r="M71">
        <v>0</v>
      </c>
      <c r="N71">
        <v>0</v>
      </c>
      <c r="O71">
        <v>0</v>
      </c>
      <c r="P71">
        <v>1</v>
      </c>
      <c r="Q71">
        <v>1</v>
      </c>
      <c r="R71">
        <v>0</v>
      </c>
      <c r="S71" t="s">
        <v>50</v>
      </c>
      <c r="T71">
        <v>0</v>
      </c>
      <c r="U71">
        <v>0</v>
      </c>
      <c r="V71">
        <v>0</v>
      </c>
      <c r="W71">
        <v>1</v>
      </c>
      <c r="X71">
        <v>0</v>
      </c>
      <c r="Y71">
        <v>1</v>
      </c>
      <c r="Z71" t="s">
        <v>231</v>
      </c>
      <c r="AA71">
        <v>0</v>
      </c>
      <c r="AB71">
        <v>0</v>
      </c>
      <c r="AC71">
        <v>0</v>
      </c>
      <c r="AD71">
        <v>0</v>
      </c>
      <c r="AE71">
        <v>0</v>
      </c>
      <c r="AF71">
        <v>0</v>
      </c>
      <c r="AG71">
        <v>0</v>
      </c>
      <c r="AH71">
        <v>0</v>
      </c>
      <c r="AI71">
        <v>0</v>
      </c>
      <c r="AJ71">
        <v>0</v>
      </c>
      <c r="AK71">
        <v>0</v>
      </c>
      <c r="AL71">
        <v>1</v>
      </c>
      <c r="AM71">
        <v>1</v>
      </c>
      <c r="AN71">
        <v>1</v>
      </c>
      <c r="AO71">
        <v>1</v>
      </c>
      <c r="AP71">
        <v>0</v>
      </c>
      <c r="AQ71">
        <v>0</v>
      </c>
      <c r="AR71">
        <v>0</v>
      </c>
      <c r="AS71">
        <v>0</v>
      </c>
      <c r="AT71">
        <v>0</v>
      </c>
      <c r="AU71">
        <v>0</v>
      </c>
      <c r="AV71">
        <v>0</v>
      </c>
      <c r="AW71">
        <v>2021</v>
      </c>
    </row>
    <row r="72" spans="1:49" x14ac:dyDescent="0.35">
      <c r="A72" t="s">
        <v>123</v>
      </c>
      <c r="B72" t="s">
        <v>66</v>
      </c>
      <c r="C72">
        <v>1</v>
      </c>
      <c r="D72">
        <v>0</v>
      </c>
      <c r="E72">
        <v>0</v>
      </c>
      <c r="F72">
        <v>0</v>
      </c>
      <c r="G72">
        <v>0</v>
      </c>
      <c r="H72">
        <v>0</v>
      </c>
      <c r="I72">
        <v>0</v>
      </c>
      <c r="J72">
        <v>0</v>
      </c>
      <c r="K72">
        <v>0</v>
      </c>
      <c r="L72">
        <v>0</v>
      </c>
      <c r="M72">
        <v>0</v>
      </c>
      <c r="N72">
        <v>1</v>
      </c>
      <c r="O72">
        <v>1</v>
      </c>
      <c r="P72">
        <v>1</v>
      </c>
      <c r="Q72">
        <v>0</v>
      </c>
      <c r="R72">
        <v>0</v>
      </c>
      <c r="S72" t="s">
        <v>50</v>
      </c>
      <c r="T72">
        <v>0</v>
      </c>
      <c r="U72">
        <v>0</v>
      </c>
      <c r="V72">
        <v>0</v>
      </c>
      <c r="W72">
        <v>0</v>
      </c>
      <c r="X72">
        <v>0</v>
      </c>
      <c r="Y72">
        <v>1</v>
      </c>
      <c r="Z72" t="s">
        <v>231</v>
      </c>
      <c r="AA72">
        <v>0</v>
      </c>
      <c r="AB72">
        <v>0</v>
      </c>
      <c r="AC72">
        <v>0</v>
      </c>
      <c r="AD72">
        <v>0</v>
      </c>
      <c r="AE72">
        <v>0</v>
      </c>
      <c r="AF72">
        <v>0</v>
      </c>
      <c r="AG72">
        <v>0</v>
      </c>
      <c r="AH72">
        <v>0</v>
      </c>
      <c r="AI72">
        <v>0</v>
      </c>
      <c r="AJ72">
        <v>0</v>
      </c>
      <c r="AK72">
        <v>0</v>
      </c>
      <c r="AL72">
        <v>1</v>
      </c>
      <c r="AM72">
        <v>0</v>
      </c>
      <c r="AN72">
        <v>0</v>
      </c>
      <c r="AO72">
        <v>0</v>
      </c>
      <c r="AP72">
        <v>0</v>
      </c>
      <c r="AQ72">
        <v>0</v>
      </c>
      <c r="AR72">
        <v>0</v>
      </c>
      <c r="AS72">
        <v>1</v>
      </c>
      <c r="AT72">
        <v>0</v>
      </c>
      <c r="AU72">
        <v>0</v>
      </c>
      <c r="AV72">
        <v>0</v>
      </c>
      <c r="AW72">
        <v>2021</v>
      </c>
    </row>
    <row r="73" spans="1:49" x14ac:dyDescent="0.35">
      <c r="A73" t="s">
        <v>124</v>
      </c>
      <c r="B73" t="s">
        <v>66</v>
      </c>
      <c r="C73">
        <v>0</v>
      </c>
      <c r="D73">
        <v>0</v>
      </c>
      <c r="E73">
        <v>0</v>
      </c>
      <c r="F73">
        <v>0</v>
      </c>
      <c r="G73">
        <v>1</v>
      </c>
      <c r="H73">
        <v>0</v>
      </c>
      <c r="I73">
        <v>0</v>
      </c>
      <c r="J73">
        <v>0</v>
      </c>
      <c r="K73">
        <v>0</v>
      </c>
      <c r="L73">
        <v>0</v>
      </c>
      <c r="M73">
        <v>0</v>
      </c>
      <c r="N73">
        <v>1</v>
      </c>
      <c r="O73">
        <v>1</v>
      </c>
      <c r="P73">
        <v>1</v>
      </c>
      <c r="Q73">
        <v>0</v>
      </c>
      <c r="R73">
        <v>1</v>
      </c>
      <c r="S73" t="s">
        <v>52</v>
      </c>
      <c r="T73">
        <v>0</v>
      </c>
      <c r="U73">
        <v>0</v>
      </c>
      <c r="V73">
        <v>1</v>
      </c>
      <c r="W73">
        <v>0</v>
      </c>
      <c r="X73">
        <v>0</v>
      </c>
      <c r="Y73">
        <v>0</v>
      </c>
      <c r="Z73" t="s">
        <v>232</v>
      </c>
      <c r="AA73">
        <v>0</v>
      </c>
      <c r="AB73">
        <v>0</v>
      </c>
      <c r="AC73">
        <v>0</v>
      </c>
      <c r="AD73">
        <v>0</v>
      </c>
      <c r="AE73">
        <v>0</v>
      </c>
      <c r="AF73">
        <v>0</v>
      </c>
      <c r="AG73">
        <v>0</v>
      </c>
      <c r="AH73">
        <v>0</v>
      </c>
      <c r="AI73">
        <v>0</v>
      </c>
      <c r="AJ73">
        <v>0</v>
      </c>
      <c r="AK73">
        <v>0</v>
      </c>
      <c r="AL73">
        <v>0</v>
      </c>
      <c r="AM73">
        <v>0</v>
      </c>
      <c r="AN73">
        <v>0</v>
      </c>
      <c r="AO73">
        <v>0</v>
      </c>
      <c r="AP73">
        <v>0</v>
      </c>
      <c r="AQ73">
        <v>0</v>
      </c>
      <c r="AR73">
        <v>0</v>
      </c>
      <c r="AS73">
        <v>0</v>
      </c>
      <c r="AT73">
        <v>0</v>
      </c>
      <c r="AU73">
        <v>0</v>
      </c>
      <c r="AV73">
        <v>1</v>
      </c>
      <c r="AW73">
        <v>2021</v>
      </c>
    </row>
    <row r="74" spans="1:49" x14ac:dyDescent="0.35">
      <c r="A74" t="s">
        <v>125</v>
      </c>
      <c r="B74" t="s">
        <v>56</v>
      </c>
      <c r="C74">
        <v>0</v>
      </c>
      <c r="D74">
        <v>0</v>
      </c>
      <c r="E74">
        <v>0</v>
      </c>
      <c r="F74">
        <v>0</v>
      </c>
      <c r="G74">
        <v>1</v>
      </c>
      <c r="H74">
        <v>1</v>
      </c>
      <c r="I74">
        <v>0</v>
      </c>
      <c r="J74">
        <v>0</v>
      </c>
      <c r="K74">
        <v>0</v>
      </c>
      <c r="L74">
        <v>0</v>
      </c>
      <c r="M74">
        <v>0</v>
      </c>
      <c r="N74">
        <v>0</v>
      </c>
      <c r="O74">
        <v>0</v>
      </c>
      <c r="P74">
        <v>1</v>
      </c>
      <c r="Q74">
        <v>1</v>
      </c>
      <c r="R74">
        <v>0</v>
      </c>
      <c r="S74" t="s">
        <v>50</v>
      </c>
      <c r="T74">
        <v>0</v>
      </c>
      <c r="U74">
        <v>0</v>
      </c>
      <c r="V74">
        <v>0</v>
      </c>
      <c r="W74">
        <v>1</v>
      </c>
      <c r="X74">
        <v>0</v>
      </c>
      <c r="Y74">
        <v>1</v>
      </c>
      <c r="Z74" t="s">
        <v>231</v>
      </c>
      <c r="AA74">
        <v>0</v>
      </c>
      <c r="AB74">
        <v>0</v>
      </c>
      <c r="AC74">
        <v>0</v>
      </c>
      <c r="AD74">
        <v>0</v>
      </c>
      <c r="AE74">
        <v>0</v>
      </c>
      <c r="AF74">
        <v>0</v>
      </c>
      <c r="AG74">
        <v>0</v>
      </c>
      <c r="AH74">
        <v>0</v>
      </c>
      <c r="AI74">
        <v>0</v>
      </c>
      <c r="AJ74">
        <v>0</v>
      </c>
      <c r="AK74">
        <v>0</v>
      </c>
      <c r="AL74">
        <v>1</v>
      </c>
      <c r="AM74">
        <v>1</v>
      </c>
      <c r="AN74">
        <v>0</v>
      </c>
      <c r="AO74">
        <v>1</v>
      </c>
      <c r="AP74">
        <v>0</v>
      </c>
      <c r="AQ74">
        <v>0</v>
      </c>
      <c r="AR74">
        <v>0</v>
      </c>
      <c r="AS74">
        <v>1</v>
      </c>
      <c r="AT74">
        <v>0</v>
      </c>
      <c r="AU74">
        <v>0</v>
      </c>
      <c r="AV74">
        <v>0</v>
      </c>
      <c r="AW74">
        <v>2021</v>
      </c>
    </row>
    <row r="75" spans="1:49" x14ac:dyDescent="0.35">
      <c r="A75" t="s">
        <v>126</v>
      </c>
      <c r="B75" t="s">
        <v>56</v>
      </c>
      <c r="C75">
        <v>0</v>
      </c>
      <c r="D75">
        <v>0</v>
      </c>
      <c r="E75">
        <v>0</v>
      </c>
      <c r="F75">
        <v>0</v>
      </c>
      <c r="G75">
        <v>1</v>
      </c>
      <c r="H75">
        <v>1</v>
      </c>
      <c r="I75">
        <v>0</v>
      </c>
      <c r="J75">
        <v>0</v>
      </c>
      <c r="K75">
        <v>0</v>
      </c>
      <c r="L75">
        <v>0</v>
      </c>
      <c r="M75">
        <v>0</v>
      </c>
      <c r="N75">
        <v>0</v>
      </c>
      <c r="O75">
        <v>0</v>
      </c>
      <c r="P75">
        <v>0</v>
      </c>
      <c r="Q75">
        <v>1</v>
      </c>
      <c r="R75">
        <v>0</v>
      </c>
      <c r="S75" t="s">
        <v>50</v>
      </c>
      <c r="T75">
        <v>1</v>
      </c>
      <c r="U75">
        <v>0</v>
      </c>
      <c r="V75">
        <v>0</v>
      </c>
      <c r="W75">
        <v>1</v>
      </c>
      <c r="X75">
        <v>0</v>
      </c>
      <c r="Y75">
        <v>1</v>
      </c>
      <c r="Z75" t="s">
        <v>231</v>
      </c>
      <c r="AA75">
        <v>0</v>
      </c>
      <c r="AB75">
        <v>0</v>
      </c>
      <c r="AC75">
        <v>0</v>
      </c>
      <c r="AD75">
        <v>0</v>
      </c>
      <c r="AE75">
        <v>0</v>
      </c>
      <c r="AF75">
        <v>0</v>
      </c>
      <c r="AG75">
        <v>0</v>
      </c>
      <c r="AH75">
        <v>0</v>
      </c>
      <c r="AI75">
        <v>0</v>
      </c>
      <c r="AJ75">
        <v>1</v>
      </c>
      <c r="AK75">
        <v>0</v>
      </c>
      <c r="AL75">
        <v>1</v>
      </c>
      <c r="AM75">
        <v>1</v>
      </c>
      <c r="AN75">
        <v>1</v>
      </c>
      <c r="AO75">
        <v>1</v>
      </c>
      <c r="AP75">
        <v>0</v>
      </c>
      <c r="AQ75">
        <v>0</v>
      </c>
      <c r="AR75">
        <v>0</v>
      </c>
      <c r="AS75">
        <v>0</v>
      </c>
      <c r="AT75">
        <v>0</v>
      </c>
      <c r="AU75">
        <v>0</v>
      </c>
      <c r="AV75">
        <v>0</v>
      </c>
      <c r="AW75">
        <v>2018</v>
      </c>
    </row>
    <row r="76" spans="1:49" x14ac:dyDescent="0.35">
      <c r="A76" t="s">
        <v>200</v>
      </c>
      <c r="B76" t="s">
        <v>56</v>
      </c>
      <c r="C76">
        <v>0</v>
      </c>
      <c r="D76">
        <v>0</v>
      </c>
      <c r="E76">
        <v>0</v>
      </c>
      <c r="F76">
        <v>0</v>
      </c>
      <c r="G76">
        <v>1</v>
      </c>
      <c r="H76">
        <v>1</v>
      </c>
      <c r="I76">
        <v>0</v>
      </c>
      <c r="J76">
        <v>0</v>
      </c>
      <c r="K76">
        <v>0</v>
      </c>
      <c r="L76">
        <v>0</v>
      </c>
      <c r="M76">
        <v>0</v>
      </c>
      <c r="N76">
        <v>0</v>
      </c>
      <c r="O76">
        <v>0</v>
      </c>
      <c r="P76">
        <v>1</v>
      </c>
      <c r="Q76">
        <v>1</v>
      </c>
      <c r="R76">
        <v>0</v>
      </c>
      <c r="S76" t="s">
        <v>50</v>
      </c>
      <c r="T76">
        <v>0</v>
      </c>
      <c r="U76">
        <v>0</v>
      </c>
      <c r="V76">
        <v>0</v>
      </c>
      <c r="W76">
        <v>1</v>
      </c>
      <c r="X76">
        <v>0</v>
      </c>
      <c r="Y76">
        <v>1</v>
      </c>
      <c r="Z76" t="s">
        <v>231</v>
      </c>
      <c r="AA76">
        <v>0</v>
      </c>
      <c r="AB76">
        <v>0</v>
      </c>
      <c r="AC76">
        <v>0</v>
      </c>
      <c r="AD76">
        <v>0</v>
      </c>
      <c r="AE76">
        <v>0</v>
      </c>
      <c r="AF76">
        <v>0</v>
      </c>
      <c r="AG76">
        <v>0</v>
      </c>
      <c r="AH76">
        <v>0</v>
      </c>
      <c r="AI76">
        <v>0</v>
      </c>
      <c r="AJ76">
        <v>0</v>
      </c>
      <c r="AK76">
        <v>0</v>
      </c>
      <c r="AL76">
        <v>1</v>
      </c>
      <c r="AM76">
        <v>1</v>
      </c>
      <c r="AN76">
        <v>1</v>
      </c>
      <c r="AO76">
        <v>1</v>
      </c>
      <c r="AP76">
        <v>0</v>
      </c>
      <c r="AQ76">
        <v>0</v>
      </c>
      <c r="AR76">
        <v>0</v>
      </c>
      <c r="AS76">
        <v>0</v>
      </c>
      <c r="AT76">
        <v>0</v>
      </c>
      <c r="AU76">
        <v>1</v>
      </c>
      <c r="AV76">
        <v>0</v>
      </c>
      <c r="AW76">
        <v>2021</v>
      </c>
    </row>
    <row r="77" spans="1:49" x14ac:dyDescent="0.35">
      <c r="A77" t="s">
        <v>127</v>
      </c>
      <c r="B77" t="s">
        <v>66</v>
      </c>
      <c r="C77">
        <v>0</v>
      </c>
      <c r="D77">
        <v>0</v>
      </c>
      <c r="E77">
        <v>1</v>
      </c>
      <c r="F77">
        <v>0</v>
      </c>
      <c r="G77">
        <v>0</v>
      </c>
      <c r="H77">
        <v>0</v>
      </c>
      <c r="I77">
        <v>1</v>
      </c>
      <c r="J77">
        <v>0</v>
      </c>
      <c r="K77">
        <v>0</v>
      </c>
      <c r="L77">
        <v>0</v>
      </c>
      <c r="M77">
        <v>0</v>
      </c>
      <c r="N77">
        <v>0</v>
      </c>
      <c r="O77">
        <v>1</v>
      </c>
      <c r="P77">
        <v>1</v>
      </c>
      <c r="Q77">
        <v>0</v>
      </c>
      <c r="R77">
        <v>0</v>
      </c>
      <c r="S77" t="s">
        <v>50</v>
      </c>
      <c r="T77">
        <v>0</v>
      </c>
      <c r="U77">
        <v>0</v>
      </c>
      <c r="V77">
        <v>0</v>
      </c>
      <c r="W77">
        <v>0</v>
      </c>
      <c r="X77">
        <v>0</v>
      </c>
      <c r="Y77">
        <v>1</v>
      </c>
      <c r="Z77" t="s">
        <v>231</v>
      </c>
      <c r="AA77">
        <v>0</v>
      </c>
      <c r="AB77">
        <v>0</v>
      </c>
      <c r="AC77">
        <v>0</v>
      </c>
      <c r="AD77">
        <v>0</v>
      </c>
      <c r="AE77">
        <v>0</v>
      </c>
      <c r="AF77">
        <v>0</v>
      </c>
      <c r="AG77">
        <v>0</v>
      </c>
      <c r="AH77">
        <v>0</v>
      </c>
      <c r="AI77">
        <v>0</v>
      </c>
      <c r="AJ77">
        <v>0</v>
      </c>
      <c r="AK77">
        <v>0</v>
      </c>
      <c r="AL77">
        <v>1</v>
      </c>
      <c r="AM77">
        <v>1</v>
      </c>
      <c r="AN77">
        <v>0</v>
      </c>
      <c r="AO77">
        <v>0</v>
      </c>
      <c r="AP77">
        <v>0</v>
      </c>
      <c r="AQ77">
        <v>0</v>
      </c>
      <c r="AR77">
        <v>0</v>
      </c>
      <c r="AS77">
        <v>0</v>
      </c>
      <c r="AT77">
        <v>0</v>
      </c>
      <c r="AU77">
        <v>0</v>
      </c>
      <c r="AV77">
        <v>0</v>
      </c>
      <c r="AW77">
        <v>2018</v>
      </c>
    </row>
    <row r="78" spans="1:49" x14ac:dyDescent="0.35">
      <c r="A78" t="s">
        <v>128</v>
      </c>
      <c r="B78" t="s">
        <v>49</v>
      </c>
      <c r="C78">
        <v>0</v>
      </c>
      <c r="D78">
        <v>0</v>
      </c>
      <c r="E78">
        <v>0</v>
      </c>
      <c r="F78">
        <v>0</v>
      </c>
      <c r="G78">
        <v>1</v>
      </c>
      <c r="H78">
        <v>0</v>
      </c>
      <c r="I78">
        <v>0</v>
      </c>
      <c r="J78">
        <v>0</v>
      </c>
      <c r="K78">
        <v>0</v>
      </c>
      <c r="L78">
        <v>0</v>
      </c>
      <c r="M78">
        <v>0</v>
      </c>
      <c r="N78">
        <v>1</v>
      </c>
      <c r="O78">
        <v>0</v>
      </c>
      <c r="P78">
        <v>0</v>
      </c>
      <c r="Q78">
        <v>1</v>
      </c>
      <c r="R78">
        <v>0</v>
      </c>
      <c r="S78" t="s">
        <v>50</v>
      </c>
      <c r="T78">
        <v>0</v>
      </c>
      <c r="U78">
        <v>0</v>
      </c>
      <c r="V78">
        <v>0</v>
      </c>
      <c r="W78">
        <v>0</v>
      </c>
      <c r="X78">
        <v>0</v>
      </c>
      <c r="Y78">
        <v>1</v>
      </c>
      <c r="Z78" t="s">
        <v>231</v>
      </c>
      <c r="AA78">
        <v>0</v>
      </c>
      <c r="AB78">
        <v>0</v>
      </c>
      <c r="AC78">
        <v>0</v>
      </c>
      <c r="AD78">
        <v>0</v>
      </c>
      <c r="AE78">
        <v>0</v>
      </c>
      <c r="AF78">
        <v>0</v>
      </c>
      <c r="AG78">
        <v>1</v>
      </c>
      <c r="AH78">
        <v>0</v>
      </c>
      <c r="AI78">
        <v>0</v>
      </c>
      <c r="AJ78">
        <v>1</v>
      </c>
      <c r="AK78">
        <v>0</v>
      </c>
      <c r="AL78">
        <v>1</v>
      </c>
      <c r="AM78">
        <v>1</v>
      </c>
      <c r="AN78">
        <v>0</v>
      </c>
      <c r="AO78">
        <v>0</v>
      </c>
      <c r="AP78">
        <v>0</v>
      </c>
      <c r="AQ78">
        <v>0</v>
      </c>
      <c r="AR78">
        <v>0</v>
      </c>
      <c r="AS78">
        <v>0</v>
      </c>
      <c r="AT78">
        <v>0</v>
      </c>
      <c r="AU78">
        <v>0</v>
      </c>
      <c r="AV78">
        <v>0</v>
      </c>
      <c r="AW78">
        <v>2019</v>
      </c>
    </row>
    <row r="79" spans="1:49" x14ac:dyDescent="0.35">
      <c r="A79" t="s">
        <v>129</v>
      </c>
      <c r="B79" t="s">
        <v>56</v>
      </c>
      <c r="C79">
        <v>0</v>
      </c>
      <c r="D79">
        <v>0</v>
      </c>
      <c r="E79">
        <v>0</v>
      </c>
      <c r="F79">
        <v>0</v>
      </c>
      <c r="G79">
        <v>1</v>
      </c>
      <c r="H79">
        <v>1</v>
      </c>
      <c r="I79">
        <v>0</v>
      </c>
      <c r="J79">
        <v>0</v>
      </c>
      <c r="K79">
        <v>0</v>
      </c>
      <c r="L79">
        <v>0</v>
      </c>
      <c r="M79">
        <v>0</v>
      </c>
      <c r="N79">
        <v>0</v>
      </c>
      <c r="O79">
        <v>0</v>
      </c>
      <c r="P79">
        <v>1</v>
      </c>
      <c r="Q79">
        <v>0</v>
      </c>
      <c r="R79">
        <v>0</v>
      </c>
      <c r="S79" t="s">
        <v>50</v>
      </c>
      <c r="T79">
        <v>0</v>
      </c>
      <c r="U79">
        <v>1</v>
      </c>
      <c r="V79">
        <v>0</v>
      </c>
      <c r="W79">
        <v>0</v>
      </c>
      <c r="X79">
        <v>0</v>
      </c>
      <c r="Y79">
        <v>0</v>
      </c>
      <c r="Z79" t="s">
        <v>230</v>
      </c>
      <c r="AA79">
        <v>0</v>
      </c>
      <c r="AB79">
        <v>0</v>
      </c>
      <c r="AC79">
        <v>1</v>
      </c>
      <c r="AD79">
        <v>1</v>
      </c>
      <c r="AE79">
        <v>0</v>
      </c>
      <c r="AF79">
        <v>0</v>
      </c>
      <c r="AG79">
        <v>0</v>
      </c>
      <c r="AH79">
        <v>0</v>
      </c>
      <c r="AI79">
        <v>0</v>
      </c>
      <c r="AJ79">
        <v>0</v>
      </c>
      <c r="AK79">
        <v>0</v>
      </c>
      <c r="AL79">
        <v>0</v>
      </c>
      <c r="AM79">
        <v>0</v>
      </c>
      <c r="AN79">
        <v>0</v>
      </c>
      <c r="AO79">
        <v>0</v>
      </c>
      <c r="AP79">
        <v>0</v>
      </c>
      <c r="AQ79">
        <v>0</v>
      </c>
      <c r="AR79">
        <v>0</v>
      </c>
      <c r="AS79">
        <v>0</v>
      </c>
      <c r="AT79">
        <v>0</v>
      </c>
      <c r="AU79">
        <v>0</v>
      </c>
      <c r="AV79">
        <v>0</v>
      </c>
      <c r="AW79">
        <v>2020</v>
      </c>
    </row>
    <row r="80" spans="1:49" x14ac:dyDescent="0.35">
      <c r="A80" t="s">
        <v>130</v>
      </c>
      <c r="B80" t="s">
        <v>49</v>
      </c>
      <c r="C80">
        <v>0</v>
      </c>
      <c r="D80">
        <v>0</v>
      </c>
      <c r="E80">
        <v>0</v>
      </c>
      <c r="F80">
        <v>0</v>
      </c>
      <c r="G80">
        <v>1</v>
      </c>
      <c r="H80">
        <v>1</v>
      </c>
      <c r="I80">
        <v>0</v>
      </c>
      <c r="J80">
        <v>0</v>
      </c>
      <c r="K80">
        <v>0</v>
      </c>
      <c r="L80">
        <v>0</v>
      </c>
      <c r="M80">
        <v>0</v>
      </c>
      <c r="N80">
        <v>0</v>
      </c>
      <c r="O80">
        <v>0</v>
      </c>
      <c r="P80">
        <v>1</v>
      </c>
      <c r="Q80">
        <v>1</v>
      </c>
      <c r="R80">
        <v>0</v>
      </c>
      <c r="S80" t="s">
        <v>50</v>
      </c>
      <c r="T80">
        <v>1</v>
      </c>
      <c r="U80">
        <v>0</v>
      </c>
      <c r="V80">
        <v>0</v>
      </c>
      <c r="W80">
        <v>0</v>
      </c>
      <c r="X80">
        <v>1</v>
      </c>
      <c r="Y80">
        <v>0</v>
      </c>
      <c r="Z80" t="s">
        <v>230</v>
      </c>
      <c r="AA80">
        <v>0</v>
      </c>
      <c r="AB80">
        <v>1</v>
      </c>
      <c r="AC80">
        <v>0</v>
      </c>
      <c r="AD80">
        <v>0</v>
      </c>
      <c r="AE80">
        <v>0</v>
      </c>
      <c r="AF80">
        <v>0</v>
      </c>
      <c r="AG80">
        <v>0</v>
      </c>
      <c r="AH80">
        <v>1</v>
      </c>
      <c r="AI80">
        <v>0</v>
      </c>
      <c r="AJ80">
        <v>0</v>
      </c>
      <c r="AK80">
        <v>0</v>
      </c>
      <c r="AL80">
        <v>1</v>
      </c>
      <c r="AM80">
        <v>1</v>
      </c>
      <c r="AN80">
        <v>1</v>
      </c>
      <c r="AO80">
        <v>0</v>
      </c>
      <c r="AP80">
        <v>0</v>
      </c>
      <c r="AQ80">
        <v>0</v>
      </c>
      <c r="AR80">
        <v>0</v>
      </c>
      <c r="AS80">
        <v>1</v>
      </c>
      <c r="AT80">
        <v>0</v>
      </c>
      <c r="AU80">
        <v>0</v>
      </c>
      <c r="AV80">
        <v>0</v>
      </c>
      <c r="AW80">
        <v>2021</v>
      </c>
    </row>
    <row r="81" spans="1:49" x14ac:dyDescent="0.35">
      <c r="A81" t="s">
        <v>131</v>
      </c>
      <c r="B81" t="s">
        <v>66</v>
      </c>
      <c r="C81">
        <v>0</v>
      </c>
      <c r="D81">
        <v>0</v>
      </c>
      <c r="E81">
        <v>0</v>
      </c>
      <c r="F81">
        <v>0</v>
      </c>
      <c r="G81">
        <v>1</v>
      </c>
      <c r="H81">
        <v>0</v>
      </c>
      <c r="I81">
        <v>0</v>
      </c>
      <c r="J81">
        <v>0</v>
      </c>
      <c r="K81">
        <v>0</v>
      </c>
      <c r="L81">
        <v>0</v>
      </c>
      <c r="M81">
        <v>0</v>
      </c>
      <c r="N81">
        <v>1</v>
      </c>
      <c r="O81">
        <v>1</v>
      </c>
      <c r="P81">
        <v>1</v>
      </c>
      <c r="Q81">
        <v>0</v>
      </c>
      <c r="R81">
        <v>0</v>
      </c>
      <c r="S81" t="s">
        <v>50</v>
      </c>
      <c r="T81">
        <v>0</v>
      </c>
      <c r="U81">
        <v>0</v>
      </c>
      <c r="V81">
        <v>1</v>
      </c>
      <c r="W81">
        <v>0</v>
      </c>
      <c r="X81">
        <v>0</v>
      </c>
      <c r="Y81">
        <v>0</v>
      </c>
      <c r="Z81" t="s">
        <v>230</v>
      </c>
      <c r="AA81">
        <v>0</v>
      </c>
      <c r="AB81">
        <v>0</v>
      </c>
      <c r="AC81">
        <v>0</v>
      </c>
      <c r="AD81">
        <v>0</v>
      </c>
      <c r="AE81">
        <v>0</v>
      </c>
      <c r="AF81">
        <v>0</v>
      </c>
      <c r="AG81">
        <v>0</v>
      </c>
      <c r="AH81">
        <v>0</v>
      </c>
      <c r="AI81">
        <v>0</v>
      </c>
      <c r="AJ81">
        <v>0</v>
      </c>
      <c r="AK81">
        <v>0</v>
      </c>
      <c r="AL81">
        <v>0</v>
      </c>
      <c r="AM81">
        <v>0</v>
      </c>
      <c r="AN81">
        <v>0</v>
      </c>
      <c r="AO81">
        <v>0</v>
      </c>
      <c r="AP81">
        <v>0</v>
      </c>
      <c r="AQ81">
        <v>0</v>
      </c>
      <c r="AR81">
        <v>1</v>
      </c>
      <c r="AS81">
        <v>1</v>
      </c>
      <c r="AT81">
        <v>0</v>
      </c>
      <c r="AU81">
        <v>0</v>
      </c>
      <c r="AV81">
        <v>0</v>
      </c>
      <c r="AW81">
        <v>2020</v>
      </c>
    </row>
    <row r="82" spans="1:49" x14ac:dyDescent="0.35">
      <c r="A82" t="s">
        <v>132</v>
      </c>
      <c r="B82" t="s">
        <v>49</v>
      </c>
      <c r="C82">
        <v>0</v>
      </c>
      <c r="D82">
        <v>0</v>
      </c>
      <c r="E82">
        <v>0</v>
      </c>
      <c r="F82">
        <v>0</v>
      </c>
      <c r="G82">
        <v>1</v>
      </c>
      <c r="H82">
        <v>1</v>
      </c>
      <c r="I82">
        <v>0</v>
      </c>
      <c r="J82">
        <v>0</v>
      </c>
      <c r="K82">
        <v>0</v>
      </c>
      <c r="L82">
        <v>0</v>
      </c>
      <c r="M82">
        <v>0</v>
      </c>
      <c r="N82">
        <v>0</v>
      </c>
      <c r="O82">
        <v>0</v>
      </c>
      <c r="P82">
        <v>1</v>
      </c>
      <c r="Q82">
        <v>1</v>
      </c>
      <c r="R82">
        <v>1</v>
      </c>
      <c r="S82" t="s">
        <v>50</v>
      </c>
      <c r="T82">
        <v>1</v>
      </c>
      <c r="U82">
        <v>0</v>
      </c>
      <c r="V82">
        <v>0</v>
      </c>
      <c r="W82">
        <v>0</v>
      </c>
      <c r="X82">
        <v>0</v>
      </c>
      <c r="Y82">
        <v>0</v>
      </c>
      <c r="Z82" t="s">
        <v>231</v>
      </c>
      <c r="AA82">
        <v>0</v>
      </c>
      <c r="AB82">
        <v>0</v>
      </c>
      <c r="AC82">
        <v>0</v>
      </c>
      <c r="AD82">
        <v>0</v>
      </c>
      <c r="AE82">
        <v>0</v>
      </c>
      <c r="AF82">
        <v>0</v>
      </c>
      <c r="AG82">
        <v>0</v>
      </c>
      <c r="AH82">
        <v>0</v>
      </c>
      <c r="AI82">
        <v>0</v>
      </c>
      <c r="AJ82">
        <v>1</v>
      </c>
      <c r="AK82">
        <v>0</v>
      </c>
      <c r="AL82">
        <v>0</v>
      </c>
      <c r="AM82">
        <v>0</v>
      </c>
      <c r="AN82">
        <v>0</v>
      </c>
      <c r="AO82">
        <v>0</v>
      </c>
      <c r="AP82">
        <v>0</v>
      </c>
      <c r="AQ82">
        <v>0</v>
      </c>
      <c r="AR82">
        <v>0</v>
      </c>
      <c r="AS82">
        <v>0</v>
      </c>
      <c r="AT82">
        <v>1</v>
      </c>
      <c r="AU82">
        <v>0</v>
      </c>
      <c r="AV82">
        <v>0</v>
      </c>
      <c r="AW82">
        <v>2018</v>
      </c>
    </row>
    <row r="83" spans="1:49" x14ac:dyDescent="0.35">
      <c r="A83" t="s">
        <v>133</v>
      </c>
      <c r="B83" t="s">
        <v>56</v>
      </c>
      <c r="C83">
        <v>1</v>
      </c>
      <c r="D83">
        <v>0</v>
      </c>
      <c r="E83">
        <v>0</v>
      </c>
      <c r="F83">
        <v>0</v>
      </c>
      <c r="G83">
        <v>0</v>
      </c>
      <c r="H83">
        <v>0</v>
      </c>
      <c r="I83">
        <v>0</v>
      </c>
      <c r="J83">
        <v>1</v>
      </c>
      <c r="K83">
        <v>0</v>
      </c>
      <c r="L83">
        <v>1</v>
      </c>
      <c r="M83">
        <v>0</v>
      </c>
      <c r="N83">
        <v>0</v>
      </c>
      <c r="O83">
        <v>0</v>
      </c>
      <c r="P83">
        <v>1</v>
      </c>
      <c r="Q83">
        <v>1</v>
      </c>
      <c r="R83">
        <v>0</v>
      </c>
      <c r="S83" t="s">
        <v>50</v>
      </c>
      <c r="T83">
        <v>0</v>
      </c>
      <c r="U83">
        <v>0</v>
      </c>
      <c r="V83">
        <v>0</v>
      </c>
      <c r="W83">
        <v>0</v>
      </c>
      <c r="X83">
        <v>1</v>
      </c>
      <c r="Y83">
        <v>0</v>
      </c>
      <c r="Z83" t="s">
        <v>231</v>
      </c>
      <c r="AA83">
        <v>0</v>
      </c>
      <c r="AB83">
        <v>0</v>
      </c>
      <c r="AC83">
        <v>0</v>
      </c>
      <c r="AD83">
        <v>0</v>
      </c>
      <c r="AE83">
        <v>0</v>
      </c>
      <c r="AF83">
        <v>0</v>
      </c>
      <c r="AG83">
        <v>1</v>
      </c>
      <c r="AH83">
        <v>1</v>
      </c>
      <c r="AI83">
        <v>0</v>
      </c>
      <c r="AJ83">
        <v>0</v>
      </c>
      <c r="AK83">
        <v>0</v>
      </c>
      <c r="AL83">
        <v>0</v>
      </c>
      <c r="AM83">
        <v>0</v>
      </c>
      <c r="AN83">
        <v>0</v>
      </c>
      <c r="AO83">
        <v>0</v>
      </c>
      <c r="AP83">
        <v>0</v>
      </c>
      <c r="AQ83">
        <v>0</v>
      </c>
      <c r="AR83">
        <v>0</v>
      </c>
      <c r="AS83">
        <v>0</v>
      </c>
      <c r="AT83">
        <v>0</v>
      </c>
      <c r="AU83">
        <v>0</v>
      </c>
      <c r="AV83">
        <v>0</v>
      </c>
      <c r="AW83">
        <v>2014</v>
      </c>
    </row>
    <row r="84" spans="1:49" x14ac:dyDescent="0.35">
      <c r="A84" t="s">
        <v>134</v>
      </c>
      <c r="B84" t="s">
        <v>49</v>
      </c>
      <c r="C84">
        <v>0</v>
      </c>
      <c r="D84">
        <v>0</v>
      </c>
      <c r="E84">
        <v>0</v>
      </c>
      <c r="F84">
        <v>0</v>
      </c>
      <c r="G84">
        <v>1</v>
      </c>
      <c r="H84">
        <v>0</v>
      </c>
      <c r="I84">
        <v>0</v>
      </c>
      <c r="J84">
        <v>0</v>
      </c>
      <c r="K84">
        <v>0</v>
      </c>
      <c r="L84">
        <v>0</v>
      </c>
      <c r="M84">
        <v>0</v>
      </c>
      <c r="N84">
        <v>1</v>
      </c>
      <c r="O84">
        <v>1</v>
      </c>
      <c r="P84">
        <v>0</v>
      </c>
      <c r="Q84">
        <v>0</v>
      </c>
      <c r="R84">
        <v>1</v>
      </c>
      <c r="S84" t="s">
        <v>50</v>
      </c>
      <c r="T84">
        <v>1</v>
      </c>
      <c r="U84">
        <v>0</v>
      </c>
      <c r="V84">
        <v>0</v>
      </c>
      <c r="W84">
        <v>0</v>
      </c>
      <c r="X84">
        <v>0</v>
      </c>
      <c r="Y84">
        <v>0</v>
      </c>
      <c r="Z84" t="s">
        <v>231</v>
      </c>
      <c r="AA84">
        <v>0</v>
      </c>
      <c r="AB84">
        <v>0</v>
      </c>
      <c r="AC84">
        <v>0</v>
      </c>
      <c r="AD84">
        <v>0</v>
      </c>
      <c r="AE84">
        <v>0</v>
      </c>
      <c r="AF84">
        <v>0</v>
      </c>
      <c r="AG84">
        <v>0</v>
      </c>
      <c r="AH84">
        <v>0</v>
      </c>
      <c r="AI84">
        <v>0</v>
      </c>
      <c r="AJ84">
        <v>1</v>
      </c>
      <c r="AK84">
        <v>0</v>
      </c>
      <c r="AL84">
        <v>0</v>
      </c>
      <c r="AM84">
        <v>0</v>
      </c>
      <c r="AN84">
        <v>0</v>
      </c>
      <c r="AO84">
        <v>0</v>
      </c>
      <c r="AP84">
        <v>0</v>
      </c>
      <c r="AQ84">
        <v>0</v>
      </c>
      <c r="AR84">
        <v>0</v>
      </c>
      <c r="AS84">
        <v>0</v>
      </c>
      <c r="AT84">
        <v>1</v>
      </c>
      <c r="AU84">
        <v>0</v>
      </c>
      <c r="AV84">
        <v>0</v>
      </c>
      <c r="AW84">
        <v>2017</v>
      </c>
    </row>
    <row r="85" spans="1:49" x14ac:dyDescent="0.35">
      <c r="A85" t="s">
        <v>135</v>
      </c>
      <c r="B85" t="s">
        <v>49</v>
      </c>
      <c r="C85">
        <v>0</v>
      </c>
      <c r="D85">
        <v>0</v>
      </c>
      <c r="E85">
        <v>0</v>
      </c>
      <c r="F85">
        <v>0</v>
      </c>
      <c r="G85">
        <v>1</v>
      </c>
      <c r="H85">
        <v>0</v>
      </c>
      <c r="I85">
        <v>0</v>
      </c>
      <c r="J85">
        <v>1</v>
      </c>
      <c r="K85">
        <v>0</v>
      </c>
      <c r="L85">
        <v>0</v>
      </c>
      <c r="M85">
        <v>0</v>
      </c>
      <c r="N85">
        <v>0</v>
      </c>
      <c r="O85">
        <v>0</v>
      </c>
      <c r="P85">
        <v>1</v>
      </c>
      <c r="Q85">
        <v>1</v>
      </c>
      <c r="R85">
        <v>1</v>
      </c>
      <c r="S85" t="s">
        <v>50</v>
      </c>
      <c r="T85">
        <v>1</v>
      </c>
      <c r="U85">
        <v>0</v>
      </c>
      <c r="V85">
        <v>0</v>
      </c>
      <c r="W85">
        <v>0</v>
      </c>
      <c r="X85">
        <v>0</v>
      </c>
      <c r="Y85">
        <v>0</v>
      </c>
      <c r="Z85" t="s">
        <v>231</v>
      </c>
      <c r="AA85">
        <v>0</v>
      </c>
      <c r="AB85">
        <v>0</v>
      </c>
      <c r="AC85">
        <v>0</v>
      </c>
      <c r="AD85">
        <v>0</v>
      </c>
      <c r="AE85">
        <v>0</v>
      </c>
      <c r="AF85">
        <v>0</v>
      </c>
      <c r="AG85">
        <v>0</v>
      </c>
      <c r="AH85">
        <v>0</v>
      </c>
      <c r="AI85">
        <v>0</v>
      </c>
      <c r="AJ85">
        <v>1</v>
      </c>
      <c r="AK85">
        <v>0</v>
      </c>
      <c r="AL85">
        <v>0</v>
      </c>
      <c r="AM85">
        <v>0</v>
      </c>
      <c r="AN85">
        <v>0</v>
      </c>
      <c r="AO85">
        <v>0</v>
      </c>
      <c r="AP85">
        <v>0</v>
      </c>
      <c r="AQ85">
        <v>0</v>
      </c>
      <c r="AR85">
        <v>0</v>
      </c>
      <c r="AS85">
        <v>0</v>
      </c>
      <c r="AT85">
        <v>1</v>
      </c>
      <c r="AU85">
        <v>0</v>
      </c>
      <c r="AV85">
        <v>0</v>
      </c>
      <c r="AW85">
        <v>2019</v>
      </c>
    </row>
    <row r="86" spans="1:49" x14ac:dyDescent="0.35">
      <c r="A86" t="s">
        <v>136</v>
      </c>
      <c r="B86" t="s">
        <v>66</v>
      </c>
      <c r="C86">
        <v>0</v>
      </c>
      <c r="D86">
        <v>0</v>
      </c>
      <c r="E86">
        <v>0</v>
      </c>
      <c r="F86">
        <v>0</v>
      </c>
      <c r="G86">
        <v>1</v>
      </c>
      <c r="H86">
        <v>0</v>
      </c>
      <c r="I86">
        <v>0</v>
      </c>
      <c r="J86">
        <v>0</v>
      </c>
      <c r="K86">
        <v>0</v>
      </c>
      <c r="L86">
        <v>0</v>
      </c>
      <c r="M86">
        <v>0</v>
      </c>
      <c r="N86">
        <v>1</v>
      </c>
      <c r="O86">
        <v>1</v>
      </c>
      <c r="P86">
        <v>1</v>
      </c>
      <c r="Q86">
        <v>0</v>
      </c>
      <c r="R86">
        <v>0</v>
      </c>
      <c r="S86" t="s">
        <v>50</v>
      </c>
      <c r="T86">
        <v>0</v>
      </c>
      <c r="U86">
        <v>0</v>
      </c>
      <c r="V86">
        <v>0</v>
      </c>
      <c r="W86">
        <v>0</v>
      </c>
      <c r="X86">
        <v>0</v>
      </c>
      <c r="Y86">
        <v>1</v>
      </c>
      <c r="Z86" t="s">
        <v>231</v>
      </c>
      <c r="AA86">
        <v>0</v>
      </c>
      <c r="AB86">
        <v>0</v>
      </c>
      <c r="AC86">
        <v>0</v>
      </c>
      <c r="AD86">
        <v>0</v>
      </c>
      <c r="AE86">
        <v>0</v>
      </c>
      <c r="AF86">
        <v>0</v>
      </c>
      <c r="AG86">
        <v>0</v>
      </c>
      <c r="AH86">
        <v>1</v>
      </c>
      <c r="AI86">
        <v>0</v>
      </c>
      <c r="AJ86">
        <v>0</v>
      </c>
      <c r="AK86">
        <v>0</v>
      </c>
      <c r="AL86">
        <v>1</v>
      </c>
      <c r="AM86">
        <v>1</v>
      </c>
      <c r="AN86">
        <v>0</v>
      </c>
      <c r="AO86">
        <v>0</v>
      </c>
      <c r="AP86">
        <v>0</v>
      </c>
      <c r="AQ86">
        <v>0</v>
      </c>
      <c r="AR86">
        <v>0</v>
      </c>
      <c r="AS86">
        <v>0</v>
      </c>
      <c r="AT86">
        <v>0</v>
      </c>
      <c r="AU86">
        <v>0</v>
      </c>
      <c r="AV86">
        <v>0</v>
      </c>
      <c r="AW86">
        <v>2021</v>
      </c>
    </row>
    <row r="87" spans="1:49" x14ac:dyDescent="0.35">
      <c r="A87" t="s">
        <v>137</v>
      </c>
      <c r="B87" t="s">
        <v>49</v>
      </c>
      <c r="C87">
        <v>0</v>
      </c>
      <c r="D87">
        <v>0</v>
      </c>
      <c r="E87">
        <v>0</v>
      </c>
      <c r="F87">
        <v>0</v>
      </c>
      <c r="G87">
        <v>1</v>
      </c>
      <c r="H87">
        <v>0</v>
      </c>
      <c r="I87">
        <v>0</v>
      </c>
      <c r="J87">
        <v>0</v>
      </c>
      <c r="K87">
        <v>0</v>
      </c>
      <c r="L87">
        <v>0</v>
      </c>
      <c r="M87">
        <v>0</v>
      </c>
      <c r="N87">
        <v>1</v>
      </c>
      <c r="O87">
        <v>1</v>
      </c>
      <c r="P87">
        <v>0</v>
      </c>
      <c r="Q87">
        <v>1</v>
      </c>
      <c r="R87">
        <v>0</v>
      </c>
      <c r="S87" t="s">
        <v>52</v>
      </c>
      <c r="T87">
        <v>0</v>
      </c>
      <c r="U87">
        <v>0</v>
      </c>
      <c r="V87">
        <v>0</v>
      </c>
      <c r="W87">
        <v>1</v>
      </c>
      <c r="X87">
        <v>1</v>
      </c>
      <c r="Y87">
        <v>0</v>
      </c>
      <c r="Z87" t="s">
        <v>232</v>
      </c>
      <c r="AA87">
        <v>0</v>
      </c>
      <c r="AB87">
        <v>0</v>
      </c>
      <c r="AC87">
        <v>0</v>
      </c>
      <c r="AD87">
        <v>0</v>
      </c>
      <c r="AE87">
        <v>0</v>
      </c>
      <c r="AF87">
        <v>0</v>
      </c>
      <c r="AG87">
        <v>0</v>
      </c>
      <c r="AH87">
        <v>0</v>
      </c>
      <c r="AI87">
        <v>0</v>
      </c>
      <c r="AJ87">
        <v>0</v>
      </c>
      <c r="AK87">
        <v>0</v>
      </c>
      <c r="AL87">
        <v>0</v>
      </c>
      <c r="AM87">
        <v>0</v>
      </c>
      <c r="AN87">
        <v>0</v>
      </c>
      <c r="AO87">
        <v>0</v>
      </c>
      <c r="AP87">
        <v>0</v>
      </c>
      <c r="AQ87">
        <v>0</v>
      </c>
      <c r="AR87">
        <v>0</v>
      </c>
      <c r="AS87">
        <v>0</v>
      </c>
      <c r="AT87">
        <v>0</v>
      </c>
      <c r="AU87">
        <v>0</v>
      </c>
      <c r="AV87">
        <v>1</v>
      </c>
      <c r="AW87">
        <v>2019</v>
      </c>
    </row>
    <row r="88" spans="1:49" x14ac:dyDescent="0.35">
      <c r="A88" t="s">
        <v>138</v>
      </c>
      <c r="B88" t="s">
        <v>49</v>
      </c>
      <c r="C88">
        <v>0</v>
      </c>
      <c r="D88">
        <v>0</v>
      </c>
      <c r="E88">
        <v>0</v>
      </c>
      <c r="F88">
        <v>0</v>
      </c>
      <c r="G88">
        <v>1</v>
      </c>
      <c r="H88">
        <v>1</v>
      </c>
      <c r="I88">
        <v>0</v>
      </c>
      <c r="J88">
        <v>0</v>
      </c>
      <c r="K88">
        <v>0</v>
      </c>
      <c r="L88">
        <v>0</v>
      </c>
      <c r="M88">
        <v>0</v>
      </c>
      <c r="N88">
        <v>0</v>
      </c>
      <c r="O88">
        <v>1</v>
      </c>
      <c r="P88">
        <v>1</v>
      </c>
      <c r="Q88">
        <v>0</v>
      </c>
      <c r="R88">
        <v>0</v>
      </c>
      <c r="S88" t="s">
        <v>235</v>
      </c>
      <c r="T88">
        <v>1</v>
      </c>
      <c r="U88">
        <v>0</v>
      </c>
      <c r="V88">
        <v>0</v>
      </c>
      <c r="W88">
        <v>1</v>
      </c>
      <c r="X88">
        <v>0</v>
      </c>
      <c r="Y88">
        <v>0</v>
      </c>
      <c r="Z88" t="s">
        <v>230</v>
      </c>
      <c r="AA88">
        <v>0</v>
      </c>
      <c r="AB88">
        <v>0</v>
      </c>
      <c r="AC88">
        <v>0</v>
      </c>
      <c r="AD88">
        <v>0</v>
      </c>
      <c r="AE88">
        <v>0</v>
      </c>
      <c r="AF88">
        <v>1</v>
      </c>
      <c r="AG88">
        <v>0</v>
      </c>
      <c r="AH88">
        <v>0</v>
      </c>
      <c r="AI88">
        <v>0</v>
      </c>
      <c r="AJ88">
        <v>0</v>
      </c>
      <c r="AK88">
        <v>0</v>
      </c>
      <c r="AL88">
        <v>0</v>
      </c>
      <c r="AM88">
        <v>0</v>
      </c>
      <c r="AN88">
        <v>0</v>
      </c>
      <c r="AO88">
        <v>0</v>
      </c>
      <c r="AP88">
        <v>0</v>
      </c>
      <c r="AQ88">
        <v>0</v>
      </c>
      <c r="AR88">
        <v>0</v>
      </c>
      <c r="AS88">
        <v>0</v>
      </c>
      <c r="AT88">
        <v>0</v>
      </c>
      <c r="AU88">
        <v>0</v>
      </c>
      <c r="AV88">
        <v>0</v>
      </c>
      <c r="AW88">
        <v>2021</v>
      </c>
    </row>
    <row r="89" spans="1:49" x14ac:dyDescent="0.35">
      <c r="A89" t="s">
        <v>139</v>
      </c>
      <c r="B89" t="s">
        <v>56</v>
      </c>
      <c r="C89">
        <v>0</v>
      </c>
      <c r="D89">
        <v>0</v>
      </c>
      <c r="E89">
        <v>0</v>
      </c>
      <c r="F89">
        <v>0</v>
      </c>
      <c r="G89">
        <v>1</v>
      </c>
      <c r="H89">
        <v>1</v>
      </c>
      <c r="I89">
        <v>0</v>
      </c>
      <c r="J89">
        <v>0</v>
      </c>
      <c r="K89">
        <v>0</v>
      </c>
      <c r="L89">
        <v>0</v>
      </c>
      <c r="M89">
        <v>0</v>
      </c>
      <c r="N89">
        <v>0</v>
      </c>
      <c r="O89">
        <v>0</v>
      </c>
      <c r="P89">
        <v>0</v>
      </c>
      <c r="Q89">
        <v>1</v>
      </c>
      <c r="R89">
        <v>1</v>
      </c>
      <c r="S89" t="s">
        <v>50</v>
      </c>
      <c r="T89">
        <v>0</v>
      </c>
      <c r="U89">
        <v>0</v>
      </c>
      <c r="V89">
        <v>0</v>
      </c>
      <c r="W89">
        <v>1</v>
      </c>
      <c r="X89">
        <v>0</v>
      </c>
      <c r="Y89">
        <v>1</v>
      </c>
      <c r="Z89" t="s">
        <v>231</v>
      </c>
      <c r="AA89">
        <v>0</v>
      </c>
      <c r="AB89">
        <v>0</v>
      </c>
      <c r="AC89">
        <v>0</v>
      </c>
      <c r="AD89">
        <v>0</v>
      </c>
      <c r="AE89">
        <v>0</v>
      </c>
      <c r="AF89">
        <v>0</v>
      </c>
      <c r="AG89">
        <v>0</v>
      </c>
      <c r="AH89">
        <v>0</v>
      </c>
      <c r="AI89">
        <v>0</v>
      </c>
      <c r="AJ89">
        <v>0</v>
      </c>
      <c r="AK89">
        <v>0</v>
      </c>
      <c r="AL89">
        <v>1</v>
      </c>
      <c r="AM89">
        <v>1</v>
      </c>
      <c r="AN89">
        <v>0</v>
      </c>
      <c r="AO89">
        <v>1</v>
      </c>
      <c r="AP89">
        <v>0</v>
      </c>
      <c r="AQ89">
        <v>0</v>
      </c>
      <c r="AR89">
        <v>0</v>
      </c>
      <c r="AS89">
        <v>1</v>
      </c>
      <c r="AT89">
        <v>0</v>
      </c>
      <c r="AU89">
        <v>0</v>
      </c>
      <c r="AV89">
        <v>0</v>
      </c>
      <c r="AW89">
        <v>2018</v>
      </c>
    </row>
    <row r="90" spans="1:49" x14ac:dyDescent="0.35">
      <c r="A90" t="s">
        <v>140</v>
      </c>
      <c r="B90" t="s">
        <v>49</v>
      </c>
      <c r="C90">
        <v>0</v>
      </c>
      <c r="D90">
        <v>0</v>
      </c>
      <c r="E90">
        <v>0</v>
      </c>
      <c r="F90">
        <v>0</v>
      </c>
      <c r="G90">
        <v>1</v>
      </c>
      <c r="H90">
        <v>1</v>
      </c>
      <c r="I90">
        <v>0</v>
      </c>
      <c r="J90">
        <v>0</v>
      </c>
      <c r="K90">
        <v>0</v>
      </c>
      <c r="L90">
        <v>0</v>
      </c>
      <c r="M90">
        <v>0</v>
      </c>
      <c r="N90">
        <v>0</v>
      </c>
      <c r="O90">
        <v>1</v>
      </c>
      <c r="P90">
        <v>1</v>
      </c>
      <c r="Q90">
        <v>0</v>
      </c>
      <c r="R90">
        <v>0</v>
      </c>
      <c r="S90" t="s">
        <v>50</v>
      </c>
      <c r="T90">
        <v>0</v>
      </c>
      <c r="U90">
        <v>0</v>
      </c>
      <c r="V90">
        <v>0</v>
      </c>
      <c r="W90">
        <v>0</v>
      </c>
      <c r="X90">
        <v>0</v>
      </c>
      <c r="Y90">
        <v>1</v>
      </c>
      <c r="Z90" t="s">
        <v>231</v>
      </c>
      <c r="AA90">
        <v>0</v>
      </c>
      <c r="AB90">
        <v>0</v>
      </c>
      <c r="AC90">
        <v>0</v>
      </c>
      <c r="AD90">
        <v>0</v>
      </c>
      <c r="AE90">
        <v>0</v>
      </c>
      <c r="AF90">
        <v>0</v>
      </c>
      <c r="AG90">
        <v>0</v>
      </c>
      <c r="AH90">
        <v>1</v>
      </c>
      <c r="AI90">
        <v>0</v>
      </c>
      <c r="AJ90">
        <v>0</v>
      </c>
      <c r="AK90">
        <v>0</v>
      </c>
      <c r="AL90">
        <v>0</v>
      </c>
      <c r="AM90">
        <v>1</v>
      </c>
      <c r="AN90">
        <v>0</v>
      </c>
      <c r="AO90">
        <v>0</v>
      </c>
      <c r="AP90">
        <v>0</v>
      </c>
      <c r="AQ90">
        <v>0</v>
      </c>
      <c r="AR90">
        <v>0</v>
      </c>
      <c r="AS90">
        <v>1</v>
      </c>
      <c r="AT90">
        <v>0</v>
      </c>
      <c r="AU90">
        <v>0</v>
      </c>
      <c r="AV90">
        <v>0</v>
      </c>
      <c r="AW90">
        <v>2018</v>
      </c>
    </row>
    <row r="91" spans="1:49" x14ac:dyDescent="0.35">
      <c r="A91" t="s">
        <v>141</v>
      </c>
      <c r="B91" t="s">
        <v>56</v>
      </c>
      <c r="C91">
        <v>1</v>
      </c>
      <c r="D91">
        <v>0</v>
      </c>
      <c r="E91">
        <v>0</v>
      </c>
      <c r="F91">
        <v>0</v>
      </c>
      <c r="G91">
        <v>0</v>
      </c>
      <c r="H91">
        <v>1</v>
      </c>
      <c r="I91">
        <v>0</v>
      </c>
      <c r="J91">
        <v>0</v>
      </c>
      <c r="K91">
        <v>0</v>
      </c>
      <c r="L91">
        <v>0</v>
      </c>
      <c r="M91">
        <v>0</v>
      </c>
      <c r="N91">
        <v>0</v>
      </c>
      <c r="O91">
        <v>1</v>
      </c>
      <c r="P91">
        <v>0</v>
      </c>
      <c r="Q91">
        <v>0</v>
      </c>
      <c r="R91">
        <v>1</v>
      </c>
      <c r="S91" t="s">
        <v>50</v>
      </c>
      <c r="T91">
        <v>0</v>
      </c>
      <c r="U91">
        <v>0</v>
      </c>
      <c r="V91">
        <v>0</v>
      </c>
      <c r="W91">
        <v>1</v>
      </c>
      <c r="X91">
        <v>1</v>
      </c>
      <c r="Y91">
        <v>0</v>
      </c>
      <c r="Z91" t="s">
        <v>231</v>
      </c>
      <c r="AA91">
        <v>0</v>
      </c>
      <c r="AB91">
        <v>0</v>
      </c>
      <c r="AC91">
        <v>0</v>
      </c>
      <c r="AD91">
        <v>0</v>
      </c>
      <c r="AE91">
        <v>0</v>
      </c>
      <c r="AF91">
        <v>0</v>
      </c>
      <c r="AG91">
        <v>0</v>
      </c>
      <c r="AH91">
        <v>0</v>
      </c>
      <c r="AI91">
        <v>0</v>
      </c>
      <c r="AJ91">
        <v>0</v>
      </c>
      <c r="AK91">
        <v>0</v>
      </c>
      <c r="AL91">
        <v>0</v>
      </c>
      <c r="AM91">
        <v>0</v>
      </c>
      <c r="AN91">
        <v>0</v>
      </c>
      <c r="AO91">
        <v>0</v>
      </c>
      <c r="AP91">
        <v>0</v>
      </c>
      <c r="AQ91">
        <v>0</v>
      </c>
      <c r="AR91">
        <v>0</v>
      </c>
      <c r="AS91">
        <v>1</v>
      </c>
      <c r="AT91">
        <v>0</v>
      </c>
      <c r="AU91">
        <v>0</v>
      </c>
      <c r="AV91">
        <v>0</v>
      </c>
      <c r="AW91">
        <v>2017</v>
      </c>
    </row>
    <row r="92" spans="1:49" x14ac:dyDescent="0.35">
      <c r="A92" t="s">
        <v>142</v>
      </c>
      <c r="B92" t="s">
        <v>49</v>
      </c>
      <c r="C92">
        <v>0</v>
      </c>
      <c r="D92">
        <v>0</v>
      </c>
      <c r="E92">
        <v>0</v>
      </c>
      <c r="F92">
        <v>0</v>
      </c>
      <c r="G92">
        <v>1</v>
      </c>
      <c r="H92">
        <v>0</v>
      </c>
      <c r="I92">
        <v>0</v>
      </c>
      <c r="J92">
        <v>0</v>
      </c>
      <c r="K92">
        <v>0</v>
      </c>
      <c r="L92">
        <v>0</v>
      </c>
      <c r="M92">
        <v>0</v>
      </c>
      <c r="N92">
        <v>1</v>
      </c>
      <c r="O92">
        <v>0</v>
      </c>
      <c r="P92">
        <v>1</v>
      </c>
      <c r="Q92">
        <v>1</v>
      </c>
      <c r="R92">
        <v>0</v>
      </c>
      <c r="S92" t="s">
        <v>50</v>
      </c>
      <c r="T92">
        <v>1</v>
      </c>
      <c r="U92">
        <v>0</v>
      </c>
      <c r="V92">
        <v>0</v>
      </c>
      <c r="W92">
        <v>0</v>
      </c>
      <c r="X92">
        <v>0</v>
      </c>
      <c r="Y92">
        <v>0</v>
      </c>
      <c r="Z92" t="s">
        <v>231</v>
      </c>
      <c r="AA92">
        <v>0</v>
      </c>
      <c r="AB92">
        <v>0</v>
      </c>
      <c r="AC92">
        <v>0</v>
      </c>
      <c r="AD92">
        <v>0</v>
      </c>
      <c r="AE92">
        <v>0</v>
      </c>
      <c r="AF92">
        <v>0</v>
      </c>
      <c r="AG92">
        <v>0</v>
      </c>
      <c r="AH92">
        <v>0</v>
      </c>
      <c r="AI92">
        <v>0</v>
      </c>
      <c r="AJ92">
        <v>1</v>
      </c>
      <c r="AK92">
        <v>0</v>
      </c>
      <c r="AL92">
        <v>0</v>
      </c>
      <c r="AM92">
        <v>0</v>
      </c>
      <c r="AN92">
        <v>0</v>
      </c>
      <c r="AO92">
        <v>0</v>
      </c>
      <c r="AP92">
        <v>0</v>
      </c>
      <c r="AQ92">
        <v>0</v>
      </c>
      <c r="AR92">
        <v>0</v>
      </c>
      <c r="AS92">
        <v>0</v>
      </c>
      <c r="AT92">
        <v>1</v>
      </c>
      <c r="AU92">
        <v>0</v>
      </c>
      <c r="AV92">
        <v>0</v>
      </c>
      <c r="AW92">
        <v>2017</v>
      </c>
    </row>
    <row r="93" spans="1:49" x14ac:dyDescent="0.35">
      <c r="A93" t="s">
        <v>143</v>
      </c>
      <c r="B93" t="s">
        <v>49</v>
      </c>
      <c r="C93">
        <v>0</v>
      </c>
      <c r="D93">
        <v>0</v>
      </c>
      <c r="E93">
        <v>0</v>
      </c>
      <c r="F93">
        <v>0</v>
      </c>
      <c r="G93">
        <v>1</v>
      </c>
      <c r="H93">
        <v>1</v>
      </c>
      <c r="I93">
        <v>0</v>
      </c>
      <c r="J93">
        <v>0</v>
      </c>
      <c r="K93">
        <v>0</v>
      </c>
      <c r="L93">
        <v>0</v>
      </c>
      <c r="M93">
        <v>0</v>
      </c>
      <c r="N93">
        <v>0</v>
      </c>
      <c r="O93">
        <v>0</v>
      </c>
      <c r="P93">
        <v>1</v>
      </c>
      <c r="Q93">
        <v>1</v>
      </c>
      <c r="R93">
        <v>1</v>
      </c>
      <c r="S93" t="s">
        <v>50</v>
      </c>
      <c r="T93">
        <v>1</v>
      </c>
      <c r="U93">
        <v>0</v>
      </c>
      <c r="V93">
        <v>0</v>
      </c>
      <c r="W93">
        <v>0</v>
      </c>
      <c r="X93">
        <v>0</v>
      </c>
      <c r="Y93">
        <v>0</v>
      </c>
      <c r="Z93" t="s">
        <v>231</v>
      </c>
      <c r="AA93">
        <v>0</v>
      </c>
      <c r="AB93">
        <v>0</v>
      </c>
      <c r="AC93">
        <v>0</v>
      </c>
      <c r="AD93">
        <v>0</v>
      </c>
      <c r="AE93">
        <v>0</v>
      </c>
      <c r="AF93">
        <v>0</v>
      </c>
      <c r="AG93">
        <v>0</v>
      </c>
      <c r="AH93">
        <v>0</v>
      </c>
      <c r="AI93">
        <v>0</v>
      </c>
      <c r="AJ93">
        <v>1</v>
      </c>
      <c r="AK93">
        <v>0</v>
      </c>
      <c r="AL93">
        <v>0</v>
      </c>
      <c r="AM93">
        <v>0</v>
      </c>
      <c r="AN93">
        <v>0</v>
      </c>
      <c r="AO93">
        <v>0</v>
      </c>
      <c r="AP93">
        <v>0</v>
      </c>
      <c r="AQ93">
        <v>0</v>
      </c>
      <c r="AR93">
        <v>0</v>
      </c>
      <c r="AS93">
        <v>0</v>
      </c>
      <c r="AT93">
        <v>1</v>
      </c>
      <c r="AU93">
        <v>0</v>
      </c>
      <c r="AV93">
        <v>0</v>
      </c>
      <c r="AW93">
        <v>2018</v>
      </c>
    </row>
    <row r="94" spans="1:49" x14ac:dyDescent="0.35">
      <c r="A94" t="s">
        <v>144</v>
      </c>
      <c r="B94" t="s">
        <v>49</v>
      </c>
      <c r="C94">
        <v>0</v>
      </c>
      <c r="D94">
        <v>0</v>
      </c>
      <c r="E94">
        <v>0</v>
      </c>
      <c r="F94">
        <v>0</v>
      </c>
      <c r="G94">
        <v>1</v>
      </c>
      <c r="H94">
        <v>0</v>
      </c>
      <c r="I94">
        <v>0</v>
      </c>
      <c r="J94">
        <v>0</v>
      </c>
      <c r="K94">
        <v>0</v>
      </c>
      <c r="L94">
        <v>0</v>
      </c>
      <c r="M94">
        <v>0</v>
      </c>
      <c r="N94">
        <v>1</v>
      </c>
      <c r="O94">
        <v>0</v>
      </c>
      <c r="P94">
        <v>0</v>
      </c>
      <c r="Q94">
        <v>0</v>
      </c>
      <c r="R94">
        <v>1</v>
      </c>
      <c r="S94" t="s">
        <v>50</v>
      </c>
      <c r="T94">
        <v>0</v>
      </c>
      <c r="U94">
        <v>0</v>
      </c>
      <c r="V94">
        <v>0</v>
      </c>
      <c r="W94">
        <v>0</v>
      </c>
      <c r="X94">
        <v>1</v>
      </c>
      <c r="Y94">
        <v>0</v>
      </c>
      <c r="Z94" t="s">
        <v>231</v>
      </c>
      <c r="AA94">
        <v>0</v>
      </c>
      <c r="AB94">
        <v>0</v>
      </c>
      <c r="AC94">
        <v>0</v>
      </c>
      <c r="AD94">
        <v>0</v>
      </c>
      <c r="AE94">
        <v>0</v>
      </c>
      <c r="AF94">
        <v>0</v>
      </c>
      <c r="AG94">
        <v>0</v>
      </c>
      <c r="AH94">
        <v>0</v>
      </c>
      <c r="AI94">
        <v>0</v>
      </c>
      <c r="AJ94">
        <v>0</v>
      </c>
      <c r="AK94">
        <v>0</v>
      </c>
      <c r="AL94">
        <v>0</v>
      </c>
      <c r="AM94">
        <v>0</v>
      </c>
      <c r="AN94">
        <v>0</v>
      </c>
      <c r="AO94">
        <v>0</v>
      </c>
      <c r="AP94">
        <v>0</v>
      </c>
      <c r="AQ94">
        <v>0</v>
      </c>
      <c r="AR94">
        <v>0</v>
      </c>
      <c r="AS94">
        <v>1</v>
      </c>
      <c r="AT94">
        <v>0</v>
      </c>
      <c r="AU94">
        <v>0</v>
      </c>
      <c r="AV94">
        <v>0</v>
      </c>
      <c r="AW94">
        <v>2020</v>
      </c>
    </row>
    <row r="95" spans="1:49" x14ac:dyDescent="0.35">
      <c r="A95" t="s">
        <v>145</v>
      </c>
      <c r="B95" t="s">
        <v>49</v>
      </c>
      <c r="C95">
        <v>0</v>
      </c>
      <c r="D95">
        <v>0</v>
      </c>
      <c r="E95">
        <v>0</v>
      </c>
      <c r="F95">
        <v>0</v>
      </c>
      <c r="G95">
        <v>1</v>
      </c>
      <c r="H95">
        <v>0</v>
      </c>
      <c r="I95">
        <v>0</v>
      </c>
      <c r="J95">
        <v>0</v>
      </c>
      <c r="K95">
        <v>0</v>
      </c>
      <c r="L95">
        <v>0</v>
      </c>
      <c r="M95">
        <v>0</v>
      </c>
      <c r="N95">
        <v>1</v>
      </c>
      <c r="O95">
        <v>0</v>
      </c>
      <c r="P95">
        <v>0</v>
      </c>
      <c r="Q95">
        <v>0</v>
      </c>
      <c r="R95">
        <v>1</v>
      </c>
      <c r="S95" t="s">
        <v>50</v>
      </c>
      <c r="T95">
        <v>0</v>
      </c>
      <c r="U95">
        <v>0</v>
      </c>
      <c r="V95">
        <v>0</v>
      </c>
      <c r="W95">
        <v>0</v>
      </c>
      <c r="X95">
        <v>1</v>
      </c>
      <c r="Y95">
        <v>0</v>
      </c>
      <c r="Z95" t="s">
        <v>231</v>
      </c>
      <c r="AA95">
        <v>0</v>
      </c>
      <c r="AB95">
        <v>0</v>
      </c>
      <c r="AC95">
        <v>0</v>
      </c>
      <c r="AD95">
        <v>0</v>
      </c>
      <c r="AE95">
        <v>0</v>
      </c>
      <c r="AF95">
        <v>0</v>
      </c>
      <c r="AG95">
        <v>0</v>
      </c>
      <c r="AH95">
        <v>0</v>
      </c>
      <c r="AI95">
        <v>0</v>
      </c>
      <c r="AJ95">
        <v>0</v>
      </c>
      <c r="AK95">
        <v>0</v>
      </c>
      <c r="AL95">
        <v>0</v>
      </c>
      <c r="AM95">
        <v>0</v>
      </c>
      <c r="AN95">
        <v>0</v>
      </c>
      <c r="AO95">
        <v>0</v>
      </c>
      <c r="AP95">
        <v>0</v>
      </c>
      <c r="AQ95">
        <v>0</v>
      </c>
      <c r="AR95">
        <v>0</v>
      </c>
      <c r="AS95">
        <v>1</v>
      </c>
      <c r="AT95">
        <v>0</v>
      </c>
      <c r="AU95">
        <v>0</v>
      </c>
      <c r="AV95">
        <v>0</v>
      </c>
      <c r="AW95">
        <v>2020</v>
      </c>
    </row>
    <row r="96" spans="1:49" x14ac:dyDescent="0.35">
      <c r="A96" t="s">
        <v>146</v>
      </c>
      <c r="B96" t="s">
        <v>56</v>
      </c>
      <c r="C96">
        <v>0</v>
      </c>
      <c r="D96">
        <v>0</v>
      </c>
      <c r="E96">
        <v>0</v>
      </c>
      <c r="F96">
        <v>0</v>
      </c>
      <c r="G96">
        <v>1</v>
      </c>
      <c r="H96">
        <v>1</v>
      </c>
      <c r="I96">
        <v>0</v>
      </c>
      <c r="J96">
        <v>0</v>
      </c>
      <c r="K96">
        <v>0</v>
      </c>
      <c r="L96">
        <v>0</v>
      </c>
      <c r="M96">
        <v>0</v>
      </c>
      <c r="N96">
        <v>0</v>
      </c>
      <c r="O96">
        <v>1</v>
      </c>
      <c r="P96">
        <v>0</v>
      </c>
      <c r="Q96">
        <v>0</v>
      </c>
      <c r="R96">
        <v>1</v>
      </c>
      <c r="S96" t="s">
        <v>50</v>
      </c>
      <c r="T96">
        <v>0</v>
      </c>
      <c r="U96">
        <v>0</v>
      </c>
      <c r="V96">
        <v>0</v>
      </c>
      <c r="W96">
        <v>1</v>
      </c>
      <c r="X96">
        <v>1</v>
      </c>
      <c r="Y96">
        <v>0</v>
      </c>
      <c r="Z96" t="s">
        <v>231</v>
      </c>
      <c r="AA96">
        <v>0</v>
      </c>
      <c r="AB96">
        <v>0</v>
      </c>
      <c r="AC96">
        <v>0</v>
      </c>
      <c r="AD96">
        <v>0</v>
      </c>
      <c r="AE96">
        <v>0</v>
      </c>
      <c r="AF96">
        <v>0</v>
      </c>
      <c r="AG96">
        <v>0</v>
      </c>
      <c r="AH96">
        <v>0</v>
      </c>
      <c r="AI96">
        <v>0</v>
      </c>
      <c r="AJ96">
        <v>0</v>
      </c>
      <c r="AK96">
        <v>0</v>
      </c>
      <c r="AL96">
        <v>0</v>
      </c>
      <c r="AM96">
        <v>0</v>
      </c>
      <c r="AN96">
        <v>0</v>
      </c>
      <c r="AO96">
        <v>0</v>
      </c>
      <c r="AP96">
        <v>0</v>
      </c>
      <c r="AQ96">
        <v>0</v>
      </c>
      <c r="AR96">
        <v>0</v>
      </c>
      <c r="AS96">
        <v>1</v>
      </c>
      <c r="AT96">
        <v>0</v>
      </c>
      <c r="AU96">
        <v>0</v>
      </c>
      <c r="AV96">
        <v>0</v>
      </c>
      <c r="AW96">
        <v>2017</v>
      </c>
    </row>
    <row r="97" spans="1:49" x14ac:dyDescent="0.35">
      <c r="A97" t="s">
        <v>147</v>
      </c>
      <c r="B97" t="s">
        <v>49</v>
      </c>
      <c r="C97">
        <v>0</v>
      </c>
      <c r="D97">
        <v>0</v>
      </c>
      <c r="E97">
        <v>0</v>
      </c>
      <c r="F97">
        <v>0</v>
      </c>
      <c r="G97">
        <v>1</v>
      </c>
      <c r="H97">
        <v>1</v>
      </c>
      <c r="I97">
        <v>0</v>
      </c>
      <c r="J97">
        <v>0</v>
      </c>
      <c r="K97">
        <v>0</v>
      </c>
      <c r="L97">
        <v>0</v>
      </c>
      <c r="M97">
        <v>0</v>
      </c>
      <c r="N97">
        <v>0</v>
      </c>
      <c r="O97">
        <v>0</v>
      </c>
      <c r="P97">
        <v>1</v>
      </c>
      <c r="Q97">
        <v>1</v>
      </c>
      <c r="R97">
        <v>1</v>
      </c>
      <c r="S97" t="s">
        <v>50</v>
      </c>
      <c r="T97">
        <v>1</v>
      </c>
      <c r="U97">
        <v>0</v>
      </c>
      <c r="V97">
        <v>0</v>
      </c>
      <c r="W97">
        <v>0</v>
      </c>
      <c r="X97">
        <v>0</v>
      </c>
      <c r="Y97">
        <v>0</v>
      </c>
      <c r="Z97" t="s">
        <v>231</v>
      </c>
      <c r="AA97">
        <v>0</v>
      </c>
      <c r="AB97">
        <v>0</v>
      </c>
      <c r="AC97">
        <v>0</v>
      </c>
      <c r="AD97">
        <v>0</v>
      </c>
      <c r="AE97">
        <v>0</v>
      </c>
      <c r="AF97">
        <v>0</v>
      </c>
      <c r="AG97">
        <v>0</v>
      </c>
      <c r="AH97">
        <v>0</v>
      </c>
      <c r="AI97">
        <v>0</v>
      </c>
      <c r="AJ97">
        <v>1</v>
      </c>
      <c r="AK97">
        <v>0</v>
      </c>
      <c r="AL97">
        <v>0</v>
      </c>
      <c r="AM97">
        <v>0</v>
      </c>
      <c r="AN97">
        <v>0</v>
      </c>
      <c r="AO97">
        <v>0</v>
      </c>
      <c r="AP97">
        <v>0</v>
      </c>
      <c r="AQ97">
        <v>0</v>
      </c>
      <c r="AR97">
        <v>0</v>
      </c>
      <c r="AS97">
        <v>0</v>
      </c>
      <c r="AT97">
        <v>1</v>
      </c>
      <c r="AU97">
        <v>0</v>
      </c>
      <c r="AV97">
        <v>0</v>
      </c>
      <c r="AW97">
        <v>2019</v>
      </c>
    </row>
    <row r="98" spans="1:49" x14ac:dyDescent="0.35">
      <c r="A98" t="s">
        <v>148</v>
      </c>
      <c r="B98" t="s">
        <v>49</v>
      </c>
      <c r="C98">
        <v>0</v>
      </c>
      <c r="D98">
        <v>0</v>
      </c>
      <c r="E98">
        <v>0</v>
      </c>
      <c r="F98">
        <v>0</v>
      </c>
      <c r="G98">
        <v>1</v>
      </c>
      <c r="H98">
        <v>0</v>
      </c>
      <c r="I98">
        <v>0</v>
      </c>
      <c r="J98">
        <v>0</v>
      </c>
      <c r="K98">
        <v>0</v>
      </c>
      <c r="L98">
        <v>0</v>
      </c>
      <c r="M98">
        <v>0</v>
      </c>
      <c r="N98">
        <v>1</v>
      </c>
      <c r="O98">
        <v>0</v>
      </c>
      <c r="P98">
        <v>1</v>
      </c>
      <c r="Q98">
        <v>0</v>
      </c>
      <c r="R98">
        <v>1</v>
      </c>
      <c r="S98" t="s">
        <v>50</v>
      </c>
      <c r="T98">
        <v>1</v>
      </c>
      <c r="U98">
        <v>0</v>
      </c>
      <c r="V98">
        <v>0</v>
      </c>
      <c r="W98">
        <v>0</v>
      </c>
      <c r="X98">
        <v>0</v>
      </c>
      <c r="Y98">
        <v>0</v>
      </c>
      <c r="Z98" t="s">
        <v>231</v>
      </c>
      <c r="AA98">
        <v>0</v>
      </c>
      <c r="AB98">
        <v>0</v>
      </c>
      <c r="AC98">
        <v>0</v>
      </c>
      <c r="AD98">
        <v>0</v>
      </c>
      <c r="AE98">
        <v>0</v>
      </c>
      <c r="AF98">
        <v>0</v>
      </c>
      <c r="AG98">
        <v>0</v>
      </c>
      <c r="AH98">
        <v>0</v>
      </c>
      <c r="AI98">
        <v>0</v>
      </c>
      <c r="AJ98">
        <v>1</v>
      </c>
      <c r="AK98">
        <v>0</v>
      </c>
      <c r="AL98">
        <v>0</v>
      </c>
      <c r="AM98">
        <v>0</v>
      </c>
      <c r="AN98">
        <v>0</v>
      </c>
      <c r="AO98">
        <v>0</v>
      </c>
      <c r="AP98">
        <v>0</v>
      </c>
      <c r="AQ98">
        <v>0</v>
      </c>
      <c r="AR98">
        <v>0</v>
      </c>
      <c r="AS98">
        <v>0</v>
      </c>
      <c r="AT98">
        <v>1</v>
      </c>
      <c r="AU98">
        <v>0</v>
      </c>
      <c r="AV98">
        <v>0</v>
      </c>
      <c r="AW98">
        <v>2018</v>
      </c>
    </row>
    <row r="99" spans="1:49" x14ac:dyDescent="0.35">
      <c r="A99" t="s">
        <v>149</v>
      </c>
      <c r="B99" t="s">
        <v>49</v>
      </c>
      <c r="C99">
        <v>0</v>
      </c>
      <c r="D99">
        <v>0</v>
      </c>
      <c r="E99">
        <v>0</v>
      </c>
      <c r="F99">
        <v>0</v>
      </c>
      <c r="G99">
        <v>1</v>
      </c>
      <c r="H99">
        <v>0</v>
      </c>
      <c r="I99">
        <v>0</v>
      </c>
      <c r="J99">
        <v>0</v>
      </c>
      <c r="K99">
        <v>0</v>
      </c>
      <c r="L99">
        <v>0</v>
      </c>
      <c r="M99">
        <v>0</v>
      </c>
      <c r="N99">
        <v>1</v>
      </c>
      <c r="O99">
        <v>0</v>
      </c>
      <c r="P99">
        <v>0</v>
      </c>
      <c r="Q99">
        <v>0</v>
      </c>
      <c r="R99">
        <v>1</v>
      </c>
      <c r="S99" t="s">
        <v>50</v>
      </c>
      <c r="T99">
        <v>1</v>
      </c>
      <c r="U99">
        <v>0</v>
      </c>
      <c r="V99">
        <v>0</v>
      </c>
      <c r="W99">
        <v>0</v>
      </c>
      <c r="X99">
        <v>0</v>
      </c>
      <c r="Y99">
        <v>0</v>
      </c>
      <c r="Z99" t="s">
        <v>231</v>
      </c>
      <c r="AA99">
        <v>0</v>
      </c>
      <c r="AB99">
        <v>0</v>
      </c>
      <c r="AC99">
        <v>0</v>
      </c>
      <c r="AD99">
        <v>0</v>
      </c>
      <c r="AE99">
        <v>0</v>
      </c>
      <c r="AF99">
        <v>0</v>
      </c>
      <c r="AG99">
        <v>0</v>
      </c>
      <c r="AH99">
        <v>0</v>
      </c>
      <c r="AI99">
        <v>0</v>
      </c>
      <c r="AJ99">
        <v>0</v>
      </c>
      <c r="AK99">
        <v>0</v>
      </c>
      <c r="AL99">
        <v>0</v>
      </c>
      <c r="AM99">
        <v>0</v>
      </c>
      <c r="AN99">
        <v>0</v>
      </c>
      <c r="AO99">
        <v>0</v>
      </c>
      <c r="AP99">
        <v>0</v>
      </c>
      <c r="AQ99">
        <v>0</v>
      </c>
      <c r="AR99">
        <v>0</v>
      </c>
      <c r="AS99">
        <v>1</v>
      </c>
      <c r="AT99">
        <v>1</v>
      </c>
      <c r="AU99">
        <v>0</v>
      </c>
      <c r="AV99">
        <v>0</v>
      </c>
      <c r="AW99">
        <v>2019</v>
      </c>
    </row>
    <row r="100" spans="1:49" x14ac:dyDescent="0.35">
      <c r="A100" t="s">
        <v>150</v>
      </c>
      <c r="B100" t="s">
        <v>49</v>
      </c>
      <c r="C100">
        <v>1</v>
      </c>
      <c r="D100">
        <v>0</v>
      </c>
      <c r="E100">
        <v>1</v>
      </c>
      <c r="F100">
        <v>0</v>
      </c>
      <c r="G100">
        <v>0</v>
      </c>
      <c r="H100">
        <v>0</v>
      </c>
      <c r="I100">
        <v>0</v>
      </c>
      <c r="J100">
        <v>0</v>
      </c>
      <c r="K100">
        <v>0</v>
      </c>
      <c r="L100">
        <v>0</v>
      </c>
      <c r="M100">
        <v>0</v>
      </c>
      <c r="N100">
        <v>1</v>
      </c>
      <c r="O100">
        <v>1</v>
      </c>
      <c r="P100">
        <v>1</v>
      </c>
      <c r="Q100">
        <v>1</v>
      </c>
      <c r="R100">
        <v>0</v>
      </c>
      <c r="S100" t="s">
        <v>50</v>
      </c>
      <c r="T100">
        <v>1</v>
      </c>
      <c r="U100">
        <v>0</v>
      </c>
      <c r="V100">
        <v>0</v>
      </c>
      <c r="W100">
        <v>0</v>
      </c>
      <c r="X100">
        <v>0</v>
      </c>
      <c r="Y100">
        <v>0</v>
      </c>
      <c r="Z100" t="s">
        <v>231</v>
      </c>
      <c r="AA100">
        <v>0</v>
      </c>
      <c r="AB100">
        <v>0</v>
      </c>
      <c r="AC100">
        <v>0</v>
      </c>
      <c r="AD100">
        <v>0</v>
      </c>
      <c r="AE100">
        <v>0</v>
      </c>
      <c r="AF100">
        <v>0</v>
      </c>
      <c r="AG100">
        <v>0</v>
      </c>
      <c r="AH100">
        <v>0</v>
      </c>
      <c r="AI100">
        <v>0</v>
      </c>
      <c r="AJ100">
        <v>1</v>
      </c>
      <c r="AK100">
        <v>0</v>
      </c>
      <c r="AL100">
        <v>0</v>
      </c>
      <c r="AM100">
        <v>0</v>
      </c>
      <c r="AN100">
        <v>0</v>
      </c>
      <c r="AO100">
        <v>0</v>
      </c>
      <c r="AP100">
        <v>0</v>
      </c>
      <c r="AQ100">
        <v>0</v>
      </c>
      <c r="AR100">
        <v>0</v>
      </c>
      <c r="AS100">
        <v>0</v>
      </c>
      <c r="AT100">
        <v>1</v>
      </c>
      <c r="AU100">
        <v>0</v>
      </c>
      <c r="AV100">
        <v>0</v>
      </c>
      <c r="AW100">
        <v>2018</v>
      </c>
    </row>
    <row r="101" spans="1:49" x14ac:dyDescent="0.35">
      <c r="A101" t="s">
        <v>151</v>
      </c>
      <c r="B101" t="s">
        <v>49</v>
      </c>
      <c r="C101">
        <v>0</v>
      </c>
      <c r="D101">
        <v>0</v>
      </c>
      <c r="E101">
        <v>1</v>
      </c>
      <c r="F101">
        <v>0</v>
      </c>
      <c r="G101">
        <v>0</v>
      </c>
      <c r="H101">
        <v>0</v>
      </c>
      <c r="I101">
        <v>0</v>
      </c>
      <c r="J101">
        <v>0</v>
      </c>
      <c r="K101">
        <v>0</v>
      </c>
      <c r="L101">
        <v>0</v>
      </c>
      <c r="M101">
        <v>0</v>
      </c>
      <c r="N101">
        <v>1</v>
      </c>
      <c r="O101">
        <v>0</v>
      </c>
      <c r="P101">
        <v>0</v>
      </c>
      <c r="Q101">
        <v>1</v>
      </c>
      <c r="R101">
        <v>1</v>
      </c>
      <c r="S101" t="s">
        <v>50</v>
      </c>
      <c r="T101">
        <v>0</v>
      </c>
      <c r="U101">
        <v>0</v>
      </c>
      <c r="V101">
        <v>0</v>
      </c>
      <c r="W101">
        <v>1</v>
      </c>
      <c r="X101">
        <v>0</v>
      </c>
      <c r="Y101">
        <v>1</v>
      </c>
      <c r="Z101" t="s">
        <v>231</v>
      </c>
      <c r="AA101">
        <v>0</v>
      </c>
      <c r="AB101">
        <v>0</v>
      </c>
      <c r="AC101">
        <v>0</v>
      </c>
      <c r="AD101">
        <v>0</v>
      </c>
      <c r="AE101">
        <v>0</v>
      </c>
      <c r="AF101">
        <v>0</v>
      </c>
      <c r="AG101">
        <v>0</v>
      </c>
      <c r="AH101">
        <v>0</v>
      </c>
      <c r="AI101">
        <v>0</v>
      </c>
      <c r="AJ101">
        <v>0</v>
      </c>
      <c r="AK101">
        <v>0</v>
      </c>
      <c r="AL101">
        <v>1</v>
      </c>
      <c r="AM101">
        <v>1</v>
      </c>
      <c r="AN101">
        <v>0</v>
      </c>
      <c r="AO101">
        <v>0</v>
      </c>
      <c r="AP101">
        <v>0</v>
      </c>
      <c r="AQ101">
        <v>0</v>
      </c>
      <c r="AR101">
        <v>0</v>
      </c>
      <c r="AS101">
        <v>0</v>
      </c>
      <c r="AT101">
        <v>0</v>
      </c>
      <c r="AU101">
        <v>0</v>
      </c>
      <c r="AV101">
        <v>0</v>
      </c>
      <c r="AW101">
        <v>2021</v>
      </c>
    </row>
    <row r="102" spans="1:49" x14ac:dyDescent="0.35">
      <c r="A102" t="s">
        <v>152</v>
      </c>
      <c r="B102" t="s">
        <v>56</v>
      </c>
      <c r="C102">
        <v>0</v>
      </c>
      <c r="D102">
        <v>0</v>
      </c>
      <c r="E102">
        <v>0</v>
      </c>
      <c r="F102">
        <v>0</v>
      </c>
      <c r="G102">
        <v>1</v>
      </c>
      <c r="H102">
        <v>1</v>
      </c>
      <c r="I102">
        <v>0</v>
      </c>
      <c r="J102">
        <v>0</v>
      </c>
      <c r="K102">
        <v>0</v>
      </c>
      <c r="L102">
        <v>0</v>
      </c>
      <c r="M102">
        <v>0</v>
      </c>
      <c r="N102">
        <v>0</v>
      </c>
      <c r="O102">
        <v>0</v>
      </c>
      <c r="P102">
        <v>0</v>
      </c>
      <c r="Q102">
        <v>1</v>
      </c>
      <c r="R102">
        <v>0</v>
      </c>
      <c r="S102" t="s">
        <v>50</v>
      </c>
      <c r="T102">
        <v>0</v>
      </c>
      <c r="U102">
        <v>0</v>
      </c>
      <c r="V102">
        <v>0</v>
      </c>
      <c r="W102">
        <v>1</v>
      </c>
      <c r="X102">
        <v>0</v>
      </c>
      <c r="Y102">
        <v>1</v>
      </c>
      <c r="Z102" t="s">
        <v>231</v>
      </c>
      <c r="AA102">
        <v>0</v>
      </c>
      <c r="AB102">
        <v>0</v>
      </c>
      <c r="AC102">
        <v>0</v>
      </c>
      <c r="AD102">
        <v>0</v>
      </c>
      <c r="AE102">
        <v>0</v>
      </c>
      <c r="AF102">
        <v>0</v>
      </c>
      <c r="AG102">
        <v>0</v>
      </c>
      <c r="AH102">
        <v>0</v>
      </c>
      <c r="AI102">
        <v>0</v>
      </c>
      <c r="AJ102">
        <v>1</v>
      </c>
      <c r="AK102">
        <v>0</v>
      </c>
      <c r="AL102">
        <v>1</v>
      </c>
      <c r="AM102">
        <v>1</v>
      </c>
      <c r="AN102">
        <v>1</v>
      </c>
      <c r="AO102">
        <v>1</v>
      </c>
      <c r="AP102">
        <v>0</v>
      </c>
      <c r="AQ102">
        <v>0</v>
      </c>
      <c r="AR102">
        <v>0</v>
      </c>
      <c r="AS102">
        <v>1</v>
      </c>
      <c r="AT102">
        <v>0</v>
      </c>
      <c r="AU102">
        <v>0</v>
      </c>
      <c r="AV102">
        <v>0</v>
      </c>
      <c r="AW102">
        <v>2015</v>
      </c>
    </row>
    <row r="103" spans="1:49" x14ac:dyDescent="0.35">
      <c r="A103" t="s">
        <v>153</v>
      </c>
      <c r="B103" t="s">
        <v>56</v>
      </c>
      <c r="C103">
        <v>1</v>
      </c>
      <c r="D103">
        <v>0</v>
      </c>
      <c r="E103">
        <v>1</v>
      </c>
      <c r="F103">
        <v>0</v>
      </c>
      <c r="G103">
        <v>0</v>
      </c>
      <c r="H103">
        <v>0</v>
      </c>
      <c r="I103">
        <v>0</v>
      </c>
      <c r="J103">
        <v>0</v>
      </c>
      <c r="K103">
        <v>1</v>
      </c>
      <c r="L103">
        <v>0</v>
      </c>
      <c r="M103">
        <v>0</v>
      </c>
      <c r="N103">
        <v>0</v>
      </c>
      <c r="O103">
        <v>1</v>
      </c>
      <c r="P103">
        <v>0</v>
      </c>
      <c r="Q103">
        <v>0</v>
      </c>
      <c r="R103">
        <v>1</v>
      </c>
      <c r="S103" t="s">
        <v>50</v>
      </c>
      <c r="T103">
        <v>0</v>
      </c>
      <c r="U103">
        <v>0</v>
      </c>
      <c r="V103">
        <v>0</v>
      </c>
      <c r="W103">
        <v>1</v>
      </c>
      <c r="X103">
        <v>0</v>
      </c>
      <c r="Y103">
        <v>0</v>
      </c>
      <c r="Z103" t="s">
        <v>230</v>
      </c>
      <c r="AA103">
        <v>0</v>
      </c>
      <c r="AB103">
        <v>0</v>
      </c>
      <c r="AC103">
        <v>0</v>
      </c>
      <c r="AD103">
        <v>0</v>
      </c>
      <c r="AE103">
        <v>0</v>
      </c>
      <c r="AF103">
        <v>1</v>
      </c>
      <c r="AG103">
        <v>0</v>
      </c>
      <c r="AH103">
        <v>0</v>
      </c>
      <c r="AI103">
        <v>0</v>
      </c>
      <c r="AJ103">
        <v>0</v>
      </c>
      <c r="AK103">
        <v>0</v>
      </c>
      <c r="AL103">
        <v>0</v>
      </c>
      <c r="AM103">
        <v>0</v>
      </c>
      <c r="AN103">
        <v>0</v>
      </c>
      <c r="AO103">
        <v>0</v>
      </c>
      <c r="AP103">
        <v>0</v>
      </c>
      <c r="AQ103">
        <v>0</v>
      </c>
      <c r="AR103">
        <v>0</v>
      </c>
      <c r="AS103">
        <v>1</v>
      </c>
      <c r="AT103">
        <v>0</v>
      </c>
      <c r="AU103">
        <v>0</v>
      </c>
      <c r="AV103">
        <v>0</v>
      </c>
      <c r="AW103">
        <v>2019</v>
      </c>
    </row>
    <row r="104" spans="1:49" x14ac:dyDescent="0.35">
      <c r="A104" t="s">
        <v>154</v>
      </c>
      <c r="B104" t="s">
        <v>49</v>
      </c>
      <c r="C104">
        <v>0</v>
      </c>
      <c r="D104">
        <v>0</v>
      </c>
      <c r="E104">
        <v>0</v>
      </c>
      <c r="F104">
        <v>0</v>
      </c>
      <c r="G104">
        <v>1</v>
      </c>
      <c r="H104">
        <v>0</v>
      </c>
      <c r="I104">
        <v>0</v>
      </c>
      <c r="J104">
        <v>0</v>
      </c>
      <c r="K104">
        <v>0</v>
      </c>
      <c r="L104">
        <v>0</v>
      </c>
      <c r="M104">
        <v>0</v>
      </c>
      <c r="N104">
        <v>1</v>
      </c>
      <c r="O104">
        <v>1</v>
      </c>
      <c r="P104">
        <v>0</v>
      </c>
      <c r="Q104">
        <v>1</v>
      </c>
      <c r="R104">
        <v>0</v>
      </c>
      <c r="S104" t="s">
        <v>52</v>
      </c>
      <c r="T104">
        <v>0</v>
      </c>
      <c r="U104">
        <v>0</v>
      </c>
      <c r="V104">
        <v>0</v>
      </c>
      <c r="W104">
        <v>0</v>
      </c>
      <c r="X104">
        <v>0</v>
      </c>
      <c r="Y104">
        <v>1</v>
      </c>
      <c r="Z104" t="s">
        <v>232</v>
      </c>
      <c r="AA104">
        <v>0</v>
      </c>
      <c r="AB104">
        <v>0</v>
      </c>
      <c r="AC104">
        <v>0</v>
      </c>
      <c r="AD104">
        <v>0</v>
      </c>
      <c r="AE104">
        <v>0</v>
      </c>
      <c r="AF104">
        <v>0</v>
      </c>
      <c r="AG104">
        <v>0</v>
      </c>
      <c r="AH104">
        <v>0</v>
      </c>
      <c r="AI104">
        <v>0</v>
      </c>
      <c r="AJ104">
        <v>0</v>
      </c>
      <c r="AK104">
        <v>0</v>
      </c>
      <c r="AL104">
        <v>0</v>
      </c>
      <c r="AM104">
        <v>0</v>
      </c>
      <c r="AN104">
        <v>0</v>
      </c>
      <c r="AO104">
        <v>0</v>
      </c>
      <c r="AP104">
        <v>0</v>
      </c>
      <c r="AQ104">
        <v>0</v>
      </c>
      <c r="AR104">
        <v>0</v>
      </c>
      <c r="AS104">
        <v>0</v>
      </c>
      <c r="AT104">
        <v>0</v>
      </c>
      <c r="AU104">
        <v>0</v>
      </c>
      <c r="AV104">
        <v>1</v>
      </c>
      <c r="AW104">
        <v>2018</v>
      </c>
    </row>
    <row r="105" spans="1:49" x14ac:dyDescent="0.35">
      <c r="A105" t="s">
        <v>155</v>
      </c>
      <c r="B105" t="s">
        <v>56</v>
      </c>
      <c r="C105">
        <v>1</v>
      </c>
      <c r="D105">
        <v>0</v>
      </c>
      <c r="E105">
        <v>0</v>
      </c>
      <c r="F105">
        <v>0</v>
      </c>
      <c r="G105">
        <v>0</v>
      </c>
      <c r="H105">
        <v>0</v>
      </c>
      <c r="I105">
        <v>0</v>
      </c>
      <c r="J105">
        <v>1</v>
      </c>
      <c r="K105">
        <v>0</v>
      </c>
      <c r="L105">
        <v>0</v>
      </c>
      <c r="M105">
        <v>0</v>
      </c>
      <c r="N105">
        <v>0</v>
      </c>
      <c r="O105">
        <v>0</v>
      </c>
      <c r="P105">
        <v>0</v>
      </c>
      <c r="Q105">
        <v>1</v>
      </c>
      <c r="R105">
        <v>1</v>
      </c>
      <c r="S105" t="s">
        <v>50</v>
      </c>
      <c r="T105">
        <v>0</v>
      </c>
      <c r="U105">
        <v>0</v>
      </c>
      <c r="V105">
        <v>0</v>
      </c>
      <c r="W105">
        <v>1</v>
      </c>
      <c r="X105">
        <v>0</v>
      </c>
      <c r="Y105">
        <v>1</v>
      </c>
      <c r="Z105" t="s">
        <v>231</v>
      </c>
      <c r="AA105">
        <v>0</v>
      </c>
      <c r="AB105">
        <v>0</v>
      </c>
      <c r="AC105">
        <v>0</v>
      </c>
      <c r="AD105">
        <v>0</v>
      </c>
      <c r="AE105">
        <v>0</v>
      </c>
      <c r="AF105">
        <v>0</v>
      </c>
      <c r="AG105">
        <v>0</v>
      </c>
      <c r="AH105">
        <v>0</v>
      </c>
      <c r="AI105">
        <v>0</v>
      </c>
      <c r="AJ105">
        <v>0</v>
      </c>
      <c r="AK105">
        <v>0</v>
      </c>
      <c r="AL105">
        <v>0</v>
      </c>
      <c r="AM105">
        <v>0</v>
      </c>
      <c r="AN105">
        <v>0</v>
      </c>
      <c r="AO105">
        <v>0</v>
      </c>
      <c r="AP105">
        <v>1</v>
      </c>
      <c r="AQ105">
        <v>0</v>
      </c>
      <c r="AR105">
        <v>0</v>
      </c>
      <c r="AS105">
        <v>1</v>
      </c>
      <c r="AT105">
        <v>0</v>
      </c>
      <c r="AU105">
        <v>0</v>
      </c>
      <c r="AV105">
        <v>0</v>
      </c>
      <c r="AW105">
        <v>2012</v>
      </c>
    </row>
    <row r="106" spans="1:49" x14ac:dyDescent="0.35">
      <c r="A106" t="s">
        <v>156</v>
      </c>
      <c r="B106" t="s">
        <v>56</v>
      </c>
      <c r="C106">
        <v>0</v>
      </c>
      <c r="D106">
        <v>0</v>
      </c>
      <c r="E106">
        <v>0</v>
      </c>
      <c r="F106">
        <v>0</v>
      </c>
      <c r="G106">
        <v>1</v>
      </c>
      <c r="H106">
        <v>0</v>
      </c>
      <c r="I106">
        <v>0</v>
      </c>
      <c r="J106">
        <v>0</v>
      </c>
      <c r="K106">
        <v>0</v>
      </c>
      <c r="L106">
        <v>0</v>
      </c>
      <c r="M106">
        <v>0</v>
      </c>
      <c r="N106">
        <v>1</v>
      </c>
      <c r="O106">
        <v>0</v>
      </c>
      <c r="P106">
        <v>1</v>
      </c>
      <c r="Q106">
        <v>1</v>
      </c>
      <c r="R106">
        <v>0</v>
      </c>
      <c r="S106" t="s">
        <v>50</v>
      </c>
      <c r="T106">
        <v>0</v>
      </c>
      <c r="U106">
        <v>0</v>
      </c>
      <c r="V106">
        <v>0</v>
      </c>
      <c r="W106">
        <v>1</v>
      </c>
      <c r="X106">
        <v>0</v>
      </c>
      <c r="Y106">
        <v>1</v>
      </c>
      <c r="Z106" t="s">
        <v>231</v>
      </c>
      <c r="AA106">
        <v>0</v>
      </c>
      <c r="AB106">
        <v>0</v>
      </c>
      <c r="AC106">
        <v>0</v>
      </c>
      <c r="AD106">
        <v>0</v>
      </c>
      <c r="AE106">
        <v>0</v>
      </c>
      <c r="AF106">
        <v>0</v>
      </c>
      <c r="AG106">
        <v>0</v>
      </c>
      <c r="AH106">
        <v>0</v>
      </c>
      <c r="AI106">
        <v>0</v>
      </c>
      <c r="AJ106">
        <v>0</v>
      </c>
      <c r="AK106">
        <v>0</v>
      </c>
      <c r="AL106">
        <v>1</v>
      </c>
      <c r="AM106">
        <v>1</v>
      </c>
      <c r="AN106">
        <v>0</v>
      </c>
      <c r="AO106">
        <v>0</v>
      </c>
      <c r="AP106">
        <v>0</v>
      </c>
      <c r="AQ106">
        <v>0</v>
      </c>
      <c r="AR106">
        <v>0</v>
      </c>
      <c r="AS106">
        <v>0</v>
      </c>
      <c r="AT106">
        <v>0</v>
      </c>
      <c r="AU106">
        <v>1</v>
      </c>
      <c r="AV106">
        <v>0</v>
      </c>
      <c r="AW106">
        <v>2017</v>
      </c>
    </row>
    <row r="107" spans="1:49" x14ac:dyDescent="0.35">
      <c r="A107" t="s">
        <v>157</v>
      </c>
      <c r="B107" t="s">
        <v>66</v>
      </c>
      <c r="C107">
        <v>0</v>
      </c>
      <c r="D107">
        <v>0</v>
      </c>
      <c r="E107">
        <v>1</v>
      </c>
      <c r="F107">
        <v>0</v>
      </c>
      <c r="G107">
        <v>0</v>
      </c>
      <c r="H107">
        <v>0</v>
      </c>
      <c r="I107">
        <v>0</v>
      </c>
      <c r="J107">
        <v>0</v>
      </c>
      <c r="K107">
        <v>1</v>
      </c>
      <c r="L107">
        <v>0</v>
      </c>
      <c r="M107">
        <v>0</v>
      </c>
      <c r="N107">
        <v>0</v>
      </c>
      <c r="O107">
        <v>1</v>
      </c>
      <c r="P107">
        <v>1</v>
      </c>
      <c r="Q107">
        <v>0</v>
      </c>
      <c r="R107">
        <v>0</v>
      </c>
      <c r="S107" t="s">
        <v>50</v>
      </c>
      <c r="T107">
        <v>0</v>
      </c>
      <c r="U107">
        <v>0</v>
      </c>
      <c r="V107">
        <v>0</v>
      </c>
      <c r="W107">
        <v>0</v>
      </c>
      <c r="X107">
        <v>0</v>
      </c>
      <c r="Y107">
        <v>1</v>
      </c>
      <c r="Z107" t="s">
        <v>231</v>
      </c>
      <c r="AA107">
        <v>0</v>
      </c>
      <c r="AB107">
        <v>0</v>
      </c>
      <c r="AC107">
        <v>0</v>
      </c>
      <c r="AD107">
        <v>0</v>
      </c>
      <c r="AE107">
        <v>0</v>
      </c>
      <c r="AF107">
        <v>0</v>
      </c>
      <c r="AG107">
        <v>0</v>
      </c>
      <c r="AH107">
        <v>1</v>
      </c>
      <c r="AI107">
        <v>0</v>
      </c>
      <c r="AJ107">
        <v>0</v>
      </c>
      <c r="AK107">
        <v>0</v>
      </c>
      <c r="AL107">
        <v>0</v>
      </c>
      <c r="AM107">
        <v>0</v>
      </c>
      <c r="AN107">
        <v>0</v>
      </c>
      <c r="AO107">
        <v>0</v>
      </c>
      <c r="AP107">
        <v>0</v>
      </c>
      <c r="AQ107">
        <v>0</v>
      </c>
      <c r="AR107">
        <v>0</v>
      </c>
      <c r="AS107">
        <v>1</v>
      </c>
      <c r="AT107">
        <v>0</v>
      </c>
      <c r="AU107">
        <v>0</v>
      </c>
      <c r="AV107">
        <v>0</v>
      </c>
      <c r="AW107">
        <v>2021</v>
      </c>
    </row>
    <row r="108" spans="1:49" x14ac:dyDescent="0.35">
      <c r="A108" t="s">
        <v>158</v>
      </c>
      <c r="B108" t="s">
        <v>49</v>
      </c>
      <c r="C108">
        <v>0</v>
      </c>
      <c r="D108">
        <v>0</v>
      </c>
      <c r="E108">
        <v>0</v>
      </c>
      <c r="F108">
        <v>0</v>
      </c>
      <c r="G108">
        <v>1</v>
      </c>
      <c r="H108">
        <v>0</v>
      </c>
      <c r="I108">
        <v>0</v>
      </c>
      <c r="J108">
        <v>1</v>
      </c>
      <c r="K108">
        <v>0</v>
      </c>
      <c r="L108">
        <v>0</v>
      </c>
      <c r="M108">
        <v>0</v>
      </c>
      <c r="N108">
        <v>0</v>
      </c>
      <c r="O108">
        <v>0</v>
      </c>
      <c r="P108">
        <v>1</v>
      </c>
      <c r="Q108">
        <v>0</v>
      </c>
      <c r="R108">
        <v>0</v>
      </c>
      <c r="S108" t="s">
        <v>50</v>
      </c>
      <c r="T108">
        <v>1</v>
      </c>
      <c r="U108">
        <v>0</v>
      </c>
      <c r="V108">
        <v>0</v>
      </c>
      <c r="W108">
        <v>0</v>
      </c>
      <c r="X108">
        <v>0</v>
      </c>
      <c r="Y108">
        <v>0</v>
      </c>
      <c r="Z108" t="s">
        <v>231</v>
      </c>
      <c r="AA108">
        <v>0</v>
      </c>
      <c r="AB108">
        <v>0</v>
      </c>
      <c r="AC108">
        <v>0</v>
      </c>
      <c r="AD108">
        <v>0</v>
      </c>
      <c r="AE108">
        <v>0</v>
      </c>
      <c r="AF108">
        <v>1</v>
      </c>
      <c r="AG108">
        <v>1</v>
      </c>
      <c r="AH108">
        <v>0</v>
      </c>
      <c r="AI108">
        <v>0</v>
      </c>
      <c r="AJ108">
        <v>1</v>
      </c>
      <c r="AK108">
        <v>0</v>
      </c>
      <c r="AL108">
        <v>0</v>
      </c>
      <c r="AM108">
        <v>0</v>
      </c>
      <c r="AN108">
        <v>0</v>
      </c>
      <c r="AO108">
        <v>0</v>
      </c>
      <c r="AP108">
        <v>0</v>
      </c>
      <c r="AQ108">
        <v>0</v>
      </c>
      <c r="AR108">
        <v>0</v>
      </c>
      <c r="AS108">
        <v>1</v>
      </c>
      <c r="AT108">
        <v>0</v>
      </c>
      <c r="AU108">
        <v>0</v>
      </c>
      <c r="AV108">
        <v>0</v>
      </c>
      <c r="AW108">
        <v>2016</v>
      </c>
    </row>
    <row r="109" spans="1:49" x14ac:dyDescent="0.35">
      <c r="A109" t="s">
        <v>159</v>
      </c>
      <c r="B109" t="s">
        <v>66</v>
      </c>
      <c r="C109">
        <v>0</v>
      </c>
      <c r="D109">
        <v>0</v>
      </c>
      <c r="E109">
        <v>1</v>
      </c>
      <c r="F109">
        <v>0</v>
      </c>
      <c r="G109">
        <v>0</v>
      </c>
      <c r="H109">
        <v>0</v>
      </c>
      <c r="I109">
        <v>0</v>
      </c>
      <c r="J109">
        <v>0</v>
      </c>
      <c r="K109">
        <v>1</v>
      </c>
      <c r="L109">
        <v>0</v>
      </c>
      <c r="M109">
        <v>0</v>
      </c>
      <c r="N109">
        <v>0</v>
      </c>
      <c r="O109">
        <v>0</v>
      </c>
      <c r="P109">
        <v>1</v>
      </c>
      <c r="Q109">
        <v>0</v>
      </c>
      <c r="R109">
        <v>0</v>
      </c>
      <c r="S109" t="s">
        <v>50</v>
      </c>
      <c r="T109">
        <v>0</v>
      </c>
      <c r="U109">
        <v>0</v>
      </c>
      <c r="V109">
        <v>0</v>
      </c>
      <c r="W109">
        <v>0</v>
      </c>
      <c r="X109">
        <v>0</v>
      </c>
      <c r="Y109">
        <v>1</v>
      </c>
      <c r="Z109" t="s">
        <v>231</v>
      </c>
      <c r="AA109">
        <v>0</v>
      </c>
      <c r="AB109">
        <v>0</v>
      </c>
      <c r="AC109">
        <v>0</v>
      </c>
      <c r="AD109">
        <v>0</v>
      </c>
      <c r="AE109">
        <v>0</v>
      </c>
      <c r="AF109">
        <v>0</v>
      </c>
      <c r="AG109">
        <v>0</v>
      </c>
      <c r="AH109">
        <v>0</v>
      </c>
      <c r="AI109">
        <v>0</v>
      </c>
      <c r="AJ109">
        <v>0</v>
      </c>
      <c r="AK109">
        <v>0</v>
      </c>
      <c r="AL109">
        <v>1</v>
      </c>
      <c r="AM109">
        <v>1</v>
      </c>
      <c r="AN109">
        <v>0</v>
      </c>
      <c r="AO109">
        <v>0</v>
      </c>
      <c r="AP109">
        <v>0</v>
      </c>
      <c r="AQ109">
        <v>0</v>
      </c>
      <c r="AR109">
        <v>0</v>
      </c>
      <c r="AS109">
        <v>1</v>
      </c>
      <c r="AT109">
        <v>0</v>
      </c>
      <c r="AU109">
        <v>0</v>
      </c>
      <c r="AV109">
        <v>0</v>
      </c>
      <c r="AW109">
        <v>2020</v>
      </c>
    </row>
    <row r="110" spans="1:49" x14ac:dyDescent="0.35">
      <c r="A110" t="s">
        <v>160</v>
      </c>
      <c r="B110" t="s">
        <v>56</v>
      </c>
      <c r="C110">
        <v>0</v>
      </c>
      <c r="D110">
        <v>0</v>
      </c>
      <c r="E110">
        <v>0</v>
      </c>
      <c r="F110">
        <v>0</v>
      </c>
      <c r="G110">
        <v>1</v>
      </c>
      <c r="H110">
        <v>1</v>
      </c>
      <c r="I110">
        <v>0</v>
      </c>
      <c r="J110">
        <v>0</v>
      </c>
      <c r="K110">
        <v>0</v>
      </c>
      <c r="L110">
        <v>0</v>
      </c>
      <c r="M110">
        <v>0</v>
      </c>
      <c r="N110">
        <v>0</v>
      </c>
      <c r="O110">
        <v>0</v>
      </c>
      <c r="P110">
        <v>0</v>
      </c>
      <c r="Q110">
        <v>1</v>
      </c>
      <c r="R110">
        <v>0</v>
      </c>
      <c r="S110" t="s">
        <v>50</v>
      </c>
      <c r="T110">
        <v>0</v>
      </c>
      <c r="U110">
        <v>0</v>
      </c>
      <c r="V110">
        <v>0</v>
      </c>
      <c r="W110">
        <v>1</v>
      </c>
      <c r="X110">
        <v>0</v>
      </c>
      <c r="Y110">
        <v>1</v>
      </c>
      <c r="Z110" t="s">
        <v>231</v>
      </c>
      <c r="AA110">
        <v>0</v>
      </c>
      <c r="AB110">
        <v>0</v>
      </c>
      <c r="AC110">
        <v>0</v>
      </c>
      <c r="AD110">
        <v>0</v>
      </c>
      <c r="AE110">
        <v>0</v>
      </c>
      <c r="AF110">
        <v>0</v>
      </c>
      <c r="AG110">
        <v>0</v>
      </c>
      <c r="AH110">
        <v>0</v>
      </c>
      <c r="AI110">
        <v>1</v>
      </c>
      <c r="AJ110">
        <v>1</v>
      </c>
      <c r="AK110">
        <v>1</v>
      </c>
      <c r="AL110">
        <v>0</v>
      </c>
      <c r="AM110">
        <v>1</v>
      </c>
      <c r="AN110">
        <v>0</v>
      </c>
      <c r="AO110">
        <v>0</v>
      </c>
      <c r="AP110">
        <v>0</v>
      </c>
      <c r="AQ110">
        <v>0</v>
      </c>
      <c r="AR110">
        <v>0</v>
      </c>
      <c r="AS110">
        <v>0</v>
      </c>
      <c r="AT110">
        <v>1</v>
      </c>
      <c r="AU110">
        <v>0</v>
      </c>
      <c r="AV110">
        <v>0</v>
      </c>
      <c r="AW110">
        <v>2018</v>
      </c>
    </row>
    <row r="111" spans="1:49" x14ac:dyDescent="0.35">
      <c r="A111" t="s">
        <v>161</v>
      </c>
      <c r="B111" t="s">
        <v>56</v>
      </c>
      <c r="C111">
        <v>0</v>
      </c>
      <c r="D111">
        <v>0</v>
      </c>
      <c r="E111">
        <v>0</v>
      </c>
      <c r="F111">
        <v>0</v>
      </c>
      <c r="G111">
        <v>1</v>
      </c>
      <c r="H111">
        <v>0</v>
      </c>
      <c r="I111">
        <v>0</v>
      </c>
      <c r="J111">
        <v>0</v>
      </c>
      <c r="K111">
        <v>0</v>
      </c>
      <c r="L111">
        <v>0</v>
      </c>
      <c r="M111">
        <v>0</v>
      </c>
      <c r="N111">
        <v>1</v>
      </c>
      <c r="O111">
        <v>1</v>
      </c>
      <c r="P111">
        <v>1</v>
      </c>
      <c r="Q111">
        <v>1</v>
      </c>
      <c r="R111">
        <v>1</v>
      </c>
      <c r="S111" t="s">
        <v>50</v>
      </c>
      <c r="T111">
        <v>0</v>
      </c>
      <c r="U111">
        <v>0</v>
      </c>
      <c r="V111">
        <v>1</v>
      </c>
      <c r="W111">
        <v>0</v>
      </c>
      <c r="X111">
        <v>0</v>
      </c>
      <c r="Y111">
        <v>0</v>
      </c>
      <c r="Z111" t="s">
        <v>230</v>
      </c>
      <c r="AA111">
        <v>0</v>
      </c>
      <c r="AB111">
        <v>0</v>
      </c>
      <c r="AC111">
        <v>0</v>
      </c>
      <c r="AD111">
        <v>0</v>
      </c>
      <c r="AE111">
        <v>0</v>
      </c>
      <c r="AF111">
        <v>0</v>
      </c>
      <c r="AG111">
        <v>1</v>
      </c>
      <c r="AH111">
        <v>0</v>
      </c>
      <c r="AI111">
        <v>1</v>
      </c>
      <c r="AJ111">
        <v>0</v>
      </c>
      <c r="AK111">
        <v>0</v>
      </c>
      <c r="AL111">
        <v>1</v>
      </c>
      <c r="AM111">
        <v>0</v>
      </c>
      <c r="AN111">
        <v>0</v>
      </c>
      <c r="AO111">
        <v>1</v>
      </c>
      <c r="AP111">
        <v>0</v>
      </c>
      <c r="AQ111">
        <v>0</v>
      </c>
      <c r="AR111">
        <v>0</v>
      </c>
      <c r="AS111">
        <v>1</v>
      </c>
      <c r="AT111">
        <v>0</v>
      </c>
      <c r="AU111">
        <v>0</v>
      </c>
      <c r="AV111">
        <v>0</v>
      </c>
      <c r="AW111">
        <v>2021</v>
      </c>
    </row>
    <row r="112" spans="1:49" x14ac:dyDescent="0.35">
      <c r="A112" t="s">
        <v>162</v>
      </c>
      <c r="B112" t="s">
        <v>66</v>
      </c>
      <c r="C112">
        <v>0</v>
      </c>
      <c r="D112">
        <v>0</v>
      </c>
      <c r="E112">
        <v>1</v>
      </c>
      <c r="F112">
        <v>0</v>
      </c>
      <c r="G112">
        <v>0</v>
      </c>
      <c r="H112">
        <v>0</v>
      </c>
      <c r="I112">
        <v>1</v>
      </c>
      <c r="J112">
        <v>0</v>
      </c>
      <c r="K112">
        <v>0</v>
      </c>
      <c r="L112">
        <v>0</v>
      </c>
      <c r="M112">
        <v>0</v>
      </c>
      <c r="N112">
        <v>0</v>
      </c>
      <c r="O112">
        <v>1</v>
      </c>
      <c r="P112">
        <v>1</v>
      </c>
      <c r="Q112">
        <v>0</v>
      </c>
      <c r="R112">
        <v>0</v>
      </c>
      <c r="S112" t="s">
        <v>50</v>
      </c>
      <c r="T112">
        <v>0</v>
      </c>
      <c r="U112">
        <v>0</v>
      </c>
      <c r="V112">
        <v>0</v>
      </c>
      <c r="W112">
        <v>0</v>
      </c>
      <c r="X112">
        <v>0</v>
      </c>
      <c r="Y112">
        <v>1</v>
      </c>
      <c r="Z112" t="s">
        <v>231</v>
      </c>
      <c r="AA112">
        <v>0</v>
      </c>
      <c r="AB112">
        <v>0</v>
      </c>
      <c r="AC112">
        <v>0</v>
      </c>
      <c r="AD112">
        <v>0</v>
      </c>
      <c r="AE112">
        <v>0</v>
      </c>
      <c r="AF112">
        <v>0</v>
      </c>
      <c r="AG112">
        <v>0</v>
      </c>
      <c r="AH112">
        <v>0</v>
      </c>
      <c r="AI112">
        <v>0</v>
      </c>
      <c r="AJ112">
        <v>0</v>
      </c>
      <c r="AK112">
        <v>0</v>
      </c>
      <c r="AL112">
        <v>1</v>
      </c>
      <c r="AM112">
        <v>1</v>
      </c>
      <c r="AN112">
        <v>0</v>
      </c>
      <c r="AO112">
        <v>0</v>
      </c>
      <c r="AP112">
        <v>0</v>
      </c>
      <c r="AQ112">
        <v>0</v>
      </c>
      <c r="AR112">
        <v>0</v>
      </c>
      <c r="AS112">
        <v>1</v>
      </c>
      <c r="AT112">
        <v>0</v>
      </c>
      <c r="AU112">
        <v>0</v>
      </c>
      <c r="AV112">
        <v>0</v>
      </c>
      <c r="AW112">
        <v>2015</v>
      </c>
    </row>
    <row r="113" spans="1:49" s="1" customFormat="1" x14ac:dyDescent="0.35">
      <c r="A113" s="1" t="s">
        <v>163</v>
      </c>
      <c r="B113" s="1" t="s">
        <v>56</v>
      </c>
      <c r="C113" s="1">
        <v>1</v>
      </c>
      <c r="D113" s="1">
        <v>0</v>
      </c>
      <c r="E113" s="1">
        <v>0</v>
      </c>
      <c r="F113" s="1">
        <v>0</v>
      </c>
      <c r="G113" s="1">
        <v>0</v>
      </c>
      <c r="H113" s="1">
        <v>1</v>
      </c>
      <c r="I113" s="1">
        <v>0</v>
      </c>
      <c r="J113" s="1">
        <v>0</v>
      </c>
      <c r="K113" s="1">
        <v>0</v>
      </c>
      <c r="L113" s="1">
        <v>0</v>
      </c>
      <c r="M113" s="1">
        <v>0</v>
      </c>
      <c r="N113" s="1">
        <v>0</v>
      </c>
      <c r="O113" s="1">
        <v>0</v>
      </c>
      <c r="P113" s="1">
        <v>1</v>
      </c>
      <c r="Q113" s="1">
        <v>1</v>
      </c>
      <c r="R113" s="1">
        <v>0</v>
      </c>
      <c r="S113" s="1" t="s">
        <v>50</v>
      </c>
      <c r="T113" s="1">
        <v>0</v>
      </c>
      <c r="U113" s="1">
        <v>0</v>
      </c>
      <c r="V113" s="1">
        <v>0</v>
      </c>
      <c r="W113" s="1">
        <v>1</v>
      </c>
      <c r="X113" s="1">
        <v>1</v>
      </c>
      <c r="Y113" s="1">
        <v>0</v>
      </c>
      <c r="Z113" t="s">
        <v>231</v>
      </c>
      <c r="AA113" s="1">
        <v>0</v>
      </c>
      <c r="AB113" s="1">
        <v>0</v>
      </c>
      <c r="AC113" s="1">
        <v>0</v>
      </c>
      <c r="AD113" s="1">
        <v>0</v>
      </c>
      <c r="AE113" s="1">
        <v>0</v>
      </c>
      <c r="AF113" s="1">
        <v>0</v>
      </c>
      <c r="AG113" s="1">
        <v>1</v>
      </c>
      <c r="AH113" s="1">
        <v>1</v>
      </c>
      <c r="AI113" s="1">
        <v>0</v>
      </c>
      <c r="AJ113" s="1">
        <v>0</v>
      </c>
      <c r="AK113" s="1">
        <v>0</v>
      </c>
      <c r="AL113" s="1">
        <v>0</v>
      </c>
      <c r="AM113" s="1">
        <v>0</v>
      </c>
      <c r="AN113" s="1">
        <v>0</v>
      </c>
      <c r="AO113" s="1">
        <v>0</v>
      </c>
      <c r="AP113" s="1">
        <v>0</v>
      </c>
      <c r="AQ113" s="1">
        <v>0</v>
      </c>
      <c r="AR113" s="1">
        <v>0</v>
      </c>
      <c r="AS113" s="1">
        <v>0</v>
      </c>
      <c r="AT113" s="1">
        <v>0</v>
      </c>
      <c r="AU113" s="1">
        <v>0</v>
      </c>
      <c r="AV113">
        <v>0</v>
      </c>
      <c r="AW113" s="1">
        <v>2021</v>
      </c>
    </row>
    <row r="114" spans="1:49" x14ac:dyDescent="0.35">
      <c r="A114" t="s">
        <v>164</v>
      </c>
      <c r="B114" t="s">
        <v>49</v>
      </c>
      <c r="C114">
        <v>0</v>
      </c>
      <c r="D114">
        <v>0</v>
      </c>
      <c r="E114">
        <v>0</v>
      </c>
      <c r="F114">
        <v>0</v>
      </c>
      <c r="G114">
        <v>1</v>
      </c>
      <c r="H114">
        <v>0</v>
      </c>
      <c r="I114">
        <v>0</v>
      </c>
      <c r="J114">
        <v>0</v>
      </c>
      <c r="K114">
        <v>0</v>
      </c>
      <c r="L114">
        <v>0</v>
      </c>
      <c r="M114">
        <v>0</v>
      </c>
      <c r="N114">
        <v>1</v>
      </c>
      <c r="O114">
        <v>1</v>
      </c>
      <c r="P114">
        <v>1</v>
      </c>
      <c r="Q114">
        <v>0</v>
      </c>
      <c r="R114">
        <v>0</v>
      </c>
      <c r="S114" t="s">
        <v>52</v>
      </c>
      <c r="T114">
        <v>0</v>
      </c>
      <c r="U114">
        <v>0</v>
      </c>
      <c r="V114">
        <v>0</v>
      </c>
      <c r="W114">
        <v>1</v>
      </c>
      <c r="X114">
        <v>0</v>
      </c>
      <c r="Y114">
        <v>1</v>
      </c>
      <c r="Z114" t="s">
        <v>231</v>
      </c>
      <c r="AA114">
        <v>0</v>
      </c>
      <c r="AB114">
        <v>0</v>
      </c>
      <c r="AC114">
        <v>0</v>
      </c>
      <c r="AD114">
        <v>0</v>
      </c>
      <c r="AE114">
        <v>0</v>
      </c>
      <c r="AF114">
        <v>0</v>
      </c>
      <c r="AG114">
        <v>0</v>
      </c>
      <c r="AH114">
        <v>0</v>
      </c>
      <c r="AI114">
        <v>0</v>
      </c>
      <c r="AJ114">
        <v>0</v>
      </c>
      <c r="AK114">
        <v>0</v>
      </c>
      <c r="AL114">
        <v>1</v>
      </c>
      <c r="AM114">
        <v>1</v>
      </c>
      <c r="AN114">
        <v>0</v>
      </c>
      <c r="AO114">
        <v>0</v>
      </c>
      <c r="AP114">
        <v>0</v>
      </c>
      <c r="AQ114">
        <v>0</v>
      </c>
      <c r="AR114">
        <v>0</v>
      </c>
      <c r="AS114">
        <v>1</v>
      </c>
      <c r="AT114">
        <v>0</v>
      </c>
      <c r="AU114">
        <v>0</v>
      </c>
      <c r="AV114">
        <v>0</v>
      </c>
      <c r="AW114">
        <v>2020</v>
      </c>
    </row>
    <row r="115" spans="1:49" x14ac:dyDescent="0.35">
      <c r="A115" t="s">
        <v>165</v>
      </c>
      <c r="B115" t="s">
        <v>49</v>
      </c>
      <c r="C115">
        <v>0</v>
      </c>
      <c r="D115">
        <v>0</v>
      </c>
      <c r="E115">
        <v>0</v>
      </c>
      <c r="F115">
        <v>0</v>
      </c>
      <c r="G115">
        <v>1</v>
      </c>
      <c r="H115">
        <v>0</v>
      </c>
      <c r="I115">
        <v>0</v>
      </c>
      <c r="J115">
        <v>0</v>
      </c>
      <c r="K115">
        <v>0</v>
      </c>
      <c r="L115">
        <v>0</v>
      </c>
      <c r="M115">
        <v>0</v>
      </c>
      <c r="N115">
        <v>1</v>
      </c>
      <c r="O115">
        <v>0</v>
      </c>
      <c r="P115">
        <v>1</v>
      </c>
      <c r="Q115">
        <v>1</v>
      </c>
      <c r="R115">
        <v>1</v>
      </c>
      <c r="S115" t="s">
        <v>50</v>
      </c>
      <c r="T115">
        <v>1</v>
      </c>
      <c r="U115">
        <v>0</v>
      </c>
      <c r="V115">
        <v>0</v>
      </c>
      <c r="W115">
        <v>0</v>
      </c>
      <c r="X115">
        <v>0</v>
      </c>
      <c r="Y115">
        <v>0</v>
      </c>
      <c r="Z115" t="s">
        <v>231</v>
      </c>
      <c r="AA115">
        <v>0</v>
      </c>
      <c r="AB115">
        <v>0</v>
      </c>
      <c r="AC115">
        <v>0</v>
      </c>
      <c r="AD115">
        <v>0</v>
      </c>
      <c r="AE115">
        <v>0</v>
      </c>
      <c r="AF115">
        <v>0</v>
      </c>
      <c r="AG115">
        <v>0</v>
      </c>
      <c r="AH115">
        <v>0</v>
      </c>
      <c r="AI115">
        <v>0</v>
      </c>
      <c r="AJ115">
        <v>1</v>
      </c>
      <c r="AK115">
        <v>0</v>
      </c>
      <c r="AL115">
        <v>0</v>
      </c>
      <c r="AM115">
        <v>1</v>
      </c>
      <c r="AN115">
        <v>0</v>
      </c>
      <c r="AO115">
        <v>0</v>
      </c>
      <c r="AP115">
        <v>0</v>
      </c>
      <c r="AQ115">
        <v>0</v>
      </c>
      <c r="AR115">
        <v>0</v>
      </c>
      <c r="AS115">
        <v>0</v>
      </c>
      <c r="AT115">
        <v>1</v>
      </c>
      <c r="AU115">
        <v>0</v>
      </c>
      <c r="AV115">
        <v>0</v>
      </c>
      <c r="AW115">
        <v>2020</v>
      </c>
    </row>
    <row r="116" spans="1:49" x14ac:dyDescent="0.35">
      <c r="A116" t="s">
        <v>166</v>
      </c>
      <c r="B116" t="s">
        <v>49</v>
      </c>
      <c r="C116">
        <v>1</v>
      </c>
      <c r="D116">
        <v>0</v>
      </c>
      <c r="E116">
        <v>0</v>
      </c>
      <c r="F116">
        <v>0</v>
      </c>
      <c r="G116">
        <v>0</v>
      </c>
      <c r="H116">
        <v>0</v>
      </c>
      <c r="I116">
        <v>0</v>
      </c>
      <c r="J116">
        <v>0</v>
      </c>
      <c r="K116">
        <v>1</v>
      </c>
      <c r="L116">
        <v>0</v>
      </c>
      <c r="M116">
        <v>0</v>
      </c>
      <c r="N116">
        <v>0</v>
      </c>
      <c r="O116">
        <v>1</v>
      </c>
      <c r="P116">
        <v>0</v>
      </c>
      <c r="Q116">
        <v>0</v>
      </c>
      <c r="R116">
        <v>0</v>
      </c>
      <c r="S116" t="s">
        <v>50</v>
      </c>
      <c r="T116">
        <v>0</v>
      </c>
      <c r="U116">
        <v>0</v>
      </c>
      <c r="V116">
        <v>1</v>
      </c>
      <c r="W116">
        <v>1</v>
      </c>
      <c r="X116">
        <v>0</v>
      </c>
      <c r="Y116">
        <v>0</v>
      </c>
      <c r="Z116" t="s">
        <v>230</v>
      </c>
      <c r="AA116">
        <v>0</v>
      </c>
      <c r="AB116">
        <v>0</v>
      </c>
      <c r="AC116">
        <v>0</v>
      </c>
      <c r="AD116">
        <v>0</v>
      </c>
      <c r="AE116">
        <v>0</v>
      </c>
      <c r="AF116">
        <v>1</v>
      </c>
      <c r="AG116">
        <v>0</v>
      </c>
      <c r="AH116">
        <v>0</v>
      </c>
      <c r="AI116">
        <v>0</v>
      </c>
      <c r="AJ116">
        <v>0</v>
      </c>
      <c r="AK116">
        <v>0</v>
      </c>
      <c r="AL116">
        <v>0</v>
      </c>
      <c r="AM116">
        <v>0</v>
      </c>
      <c r="AN116">
        <v>0</v>
      </c>
      <c r="AO116">
        <v>0</v>
      </c>
      <c r="AP116">
        <v>0</v>
      </c>
      <c r="AQ116">
        <v>0</v>
      </c>
      <c r="AR116">
        <v>0</v>
      </c>
      <c r="AS116">
        <v>1</v>
      </c>
      <c r="AT116">
        <v>0</v>
      </c>
      <c r="AU116">
        <v>0</v>
      </c>
      <c r="AV116">
        <v>0</v>
      </c>
      <c r="AW116">
        <v>2019</v>
      </c>
    </row>
    <row r="117" spans="1:49" x14ac:dyDescent="0.35">
      <c r="A117" t="s">
        <v>167</v>
      </c>
      <c r="B117" t="s">
        <v>49</v>
      </c>
      <c r="C117">
        <v>0</v>
      </c>
      <c r="D117">
        <v>0</v>
      </c>
      <c r="E117">
        <v>1</v>
      </c>
      <c r="F117">
        <v>0</v>
      </c>
      <c r="G117">
        <v>0</v>
      </c>
      <c r="H117">
        <v>0</v>
      </c>
      <c r="I117">
        <v>0</v>
      </c>
      <c r="J117">
        <v>0</v>
      </c>
      <c r="K117">
        <v>0</v>
      </c>
      <c r="L117">
        <v>0</v>
      </c>
      <c r="M117">
        <v>0</v>
      </c>
      <c r="N117">
        <v>1</v>
      </c>
      <c r="O117">
        <v>0</v>
      </c>
      <c r="P117">
        <v>0</v>
      </c>
      <c r="Q117">
        <v>1</v>
      </c>
      <c r="R117">
        <v>1</v>
      </c>
      <c r="S117" t="s">
        <v>50</v>
      </c>
      <c r="T117">
        <v>0</v>
      </c>
      <c r="U117">
        <v>0</v>
      </c>
      <c r="V117">
        <v>0</v>
      </c>
      <c r="W117">
        <v>1</v>
      </c>
      <c r="X117">
        <v>0</v>
      </c>
      <c r="Y117">
        <v>1</v>
      </c>
      <c r="Z117" t="s">
        <v>231</v>
      </c>
      <c r="AA117">
        <v>0</v>
      </c>
      <c r="AB117">
        <v>0</v>
      </c>
      <c r="AC117">
        <v>0</v>
      </c>
      <c r="AD117">
        <v>0</v>
      </c>
      <c r="AE117">
        <v>0</v>
      </c>
      <c r="AF117">
        <v>0</v>
      </c>
      <c r="AG117">
        <v>0</v>
      </c>
      <c r="AH117">
        <v>0</v>
      </c>
      <c r="AI117">
        <v>0</v>
      </c>
      <c r="AJ117">
        <v>0</v>
      </c>
      <c r="AK117">
        <v>0</v>
      </c>
      <c r="AL117">
        <v>1</v>
      </c>
      <c r="AM117">
        <v>1</v>
      </c>
      <c r="AN117">
        <v>1</v>
      </c>
      <c r="AO117">
        <v>0</v>
      </c>
      <c r="AP117">
        <v>0</v>
      </c>
      <c r="AQ117">
        <v>0</v>
      </c>
      <c r="AR117">
        <v>0</v>
      </c>
      <c r="AS117">
        <v>1</v>
      </c>
      <c r="AT117">
        <v>0</v>
      </c>
      <c r="AU117">
        <v>0</v>
      </c>
      <c r="AV117">
        <v>0</v>
      </c>
      <c r="AW117">
        <v>2013</v>
      </c>
    </row>
    <row r="118" spans="1:49" x14ac:dyDescent="0.35">
      <c r="A118" t="s">
        <v>168</v>
      </c>
      <c r="B118" t="s">
        <v>56</v>
      </c>
      <c r="C118">
        <v>0</v>
      </c>
      <c r="D118">
        <v>0</v>
      </c>
      <c r="E118">
        <v>1</v>
      </c>
      <c r="F118">
        <v>0</v>
      </c>
      <c r="G118">
        <v>0</v>
      </c>
      <c r="H118">
        <v>1</v>
      </c>
      <c r="I118">
        <v>0</v>
      </c>
      <c r="J118">
        <v>0</v>
      </c>
      <c r="K118">
        <v>0</v>
      </c>
      <c r="L118">
        <v>0</v>
      </c>
      <c r="M118">
        <v>0</v>
      </c>
      <c r="N118">
        <v>0</v>
      </c>
      <c r="O118">
        <v>0</v>
      </c>
      <c r="P118">
        <v>0</v>
      </c>
      <c r="Q118">
        <v>1</v>
      </c>
      <c r="R118">
        <v>1</v>
      </c>
      <c r="S118" t="s">
        <v>50</v>
      </c>
      <c r="T118">
        <v>0</v>
      </c>
      <c r="U118">
        <v>0</v>
      </c>
      <c r="V118">
        <v>0</v>
      </c>
      <c r="W118">
        <v>1</v>
      </c>
      <c r="X118">
        <v>0</v>
      </c>
      <c r="Y118">
        <v>1</v>
      </c>
      <c r="Z118" t="s">
        <v>231</v>
      </c>
      <c r="AA118">
        <v>0</v>
      </c>
      <c r="AB118">
        <v>0</v>
      </c>
      <c r="AC118">
        <v>0</v>
      </c>
      <c r="AD118">
        <v>0</v>
      </c>
      <c r="AE118">
        <v>0</v>
      </c>
      <c r="AF118">
        <v>0</v>
      </c>
      <c r="AG118">
        <v>1</v>
      </c>
      <c r="AH118">
        <v>0</v>
      </c>
      <c r="AI118">
        <v>0</v>
      </c>
      <c r="AJ118">
        <v>1</v>
      </c>
      <c r="AK118">
        <v>0</v>
      </c>
      <c r="AL118">
        <v>1</v>
      </c>
      <c r="AM118">
        <v>1</v>
      </c>
      <c r="AN118">
        <v>0</v>
      </c>
      <c r="AO118">
        <v>1</v>
      </c>
      <c r="AP118">
        <v>1</v>
      </c>
      <c r="AQ118">
        <v>0</v>
      </c>
      <c r="AR118">
        <v>0</v>
      </c>
      <c r="AS118">
        <v>0</v>
      </c>
      <c r="AT118">
        <v>0</v>
      </c>
      <c r="AU118">
        <v>1</v>
      </c>
      <c r="AV118">
        <v>0</v>
      </c>
      <c r="AW118">
        <v>2014</v>
      </c>
    </row>
    <row r="119" spans="1:49" x14ac:dyDescent="0.35">
      <c r="A119" t="s">
        <v>169</v>
      </c>
      <c r="B119" t="s">
        <v>56</v>
      </c>
      <c r="C119">
        <v>0</v>
      </c>
      <c r="D119">
        <v>0</v>
      </c>
      <c r="E119">
        <v>0</v>
      </c>
      <c r="F119">
        <v>0</v>
      </c>
      <c r="G119">
        <v>1</v>
      </c>
      <c r="H119">
        <v>0</v>
      </c>
      <c r="I119">
        <v>0</v>
      </c>
      <c r="J119">
        <v>0</v>
      </c>
      <c r="K119">
        <v>0</v>
      </c>
      <c r="L119">
        <v>0</v>
      </c>
      <c r="M119">
        <v>0</v>
      </c>
      <c r="N119">
        <v>1</v>
      </c>
      <c r="O119">
        <v>0</v>
      </c>
      <c r="P119">
        <v>1</v>
      </c>
      <c r="Q119">
        <v>1</v>
      </c>
      <c r="R119">
        <v>0</v>
      </c>
      <c r="S119" t="s">
        <v>50</v>
      </c>
      <c r="T119">
        <v>0</v>
      </c>
      <c r="U119">
        <v>0</v>
      </c>
      <c r="V119">
        <v>0</v>
      </c>
      <c r="W119">
        <v>0</v>
      </c>
      <c r="X119">
        <v>0</v>
      </c>
      <c r="Y119">
        <v>1</v>
      </c>
      <c r="Z119" t="s">
        <v>231</v>
      </c>
      <c r="AA119">
        <v>0</v>
      </c>
      <c r="AB119">
        <v>0</v>
      </c>
      <c r="AC119">
        <v>0</v>
      </c>
      <c r="AD119">
        <v>0</v>
      </c>
      <c r="AE119">
        <v>0</v>
      </c>
      <c r="AF119">
        <v>0</v>
      </c>
      <c r="AG119">
        <v>0</v>
      </c>
      <c r="AH119">
        <v>0</v>
      </c>
      <c r="AI119">
        <v>0</v>
      </c>
      <c r="AJ119">
        <v>0</v>
      </c>
      <c r="AK119">
        <v>0</v>
      </c>
      <c r="AL119">
        <v>1</v>
      </c>
      <c r="AM119">
        <v>1</v>
      </c>
      <c r="AN119">
        <v>1</v>
      </c>
      <c r="AO119">
        <v>1</v>
      </c>
      <c r="AP119">
        <v>0</v>
      </c>
      <c r="AQ119">
        <v>0</v>
      </c>
      <c r="AR119">
        <v>0</v>
      </c>
      <c r="AS119">
        <v>0</v>
      </c>
      <c r="AT119">
        <v>0</v>
      </c>
      <c r="AU119">
        <v>0</v>
      </c>
      <c r="AV119">
        <v>0</v>
      </c>
      <c r="AW119">
        <v>2021</v>
      </c>
    </row>
    <row r="120" spans="1:49" x14ac:dyDescent="0.35">
      <c r="A120" t="s">
        <v>170</v>
      </c>
      <c r="B120" t="s">
        <v>56</v>
      </c>
      <c r="C120">
        <v>0</v>
      </c>
      <c r="D120">
        <v>0</v>
      </c>
      <c r="E120">
        <v>0</v>
      </c>
      <c r="F120">
        <v>0</v>
      </c>
      <c r="G120">
        <v>1</v>
      </c>
      <c r="H120">
        <v>0</v>
      </c>
      <c r="I120">
        <v>0</v>
      </c>
      <c r="J120">
        <v>1</v>
      </c>
      <c r="K120">
        <v>0</v>
      </c>
      <c r="L120">
        <v>0</v>
      </c>
      <c r="M120">
        <v>0</v>
      </c>
      <c r="N120">
        <v>0</v>
      </c>
      <c r="O120">
        <v>1</v>
      </c>
      <c r="P120">
        <v>0</v>
      </c>
      <c r="Q120">
        <v>0</v>
      </c>
      <c r="R120">
        <v>0</v>
      </c>
      <c r="S120" t="s">
        <v>50</v>
      </c>
      <c r="T120">
        <v>0</v>
      </c>
      <c r="U120">
        <v>0</v>
      </c>
      <c r="V120">
        <v>1</v>
      </c>
      <c r="W120">
        <v>0</v>
      </c>
      <c r="X120">
        <v>0</v>
      </c>
      <c r="Y120">
        <v>0</v>
      </c>
      <c r="Z120" t="s">
        <v>230</v>
      </c>
      <c r="AA120">
        <v>0</v>
      </c>
      <c r="AB120">
        <v>0</v>
      </c>
      <c r="AC120">
        <v>0</v>
      </c>
      <c r="AD120">
        <v>0</v>
      </c>
      <c r="AE120">
        <v>0</v>
      </c>
      <c r="AF120">
        <v>0</v>
      </c>
      <c r="AG120">
        <v>0</v>
      </c>
      <c r="AH120">
        <v>0</v>
      </c>
      <c r="AI120">
        <v>0</v>
      </c>
      <c r="AJ120">
        <v>0</v>
      </c>
      <c r="AK120">
        <v>0</v>
      </c>
      <c r="AL120">
        <v>0</v>
      </c>
      <c r="AM120">
        <v>0</v>
      </c>
      <c r="AN120">
        <v>0</v>
      </c>
      <c r="AO120">
        <v>0</v>
      </c>
      <c r="AP120">
        <v>0</v>
      </c>
      <c r="AQ120">
        <v>0</v>
      </c>
      <c r="AR120">
        <v>0</v>
      </c>
      <c r="AS120">
        <v>1</v>
      </c>
      <c r="AT120">
        <v>0</v>
      </c>
      <c r="AU120">
        <v>0</v>
      </c>
      <c r="AV120">
        <v>0</v>
      </c>
      <c r="AW120">
        <v>2012</v>
      </c>
    </row>
    <row r="121" spans="1:49" x14ac:dyDescent="0.35">
      <c r="A121" t="s">
        <v>171</v>
      </c>
      <c r="B121" t="s">
        <v>56</v>
      </c>
      <c r="C121">
        <v>0</v>
      </c>
      <c r="D121">
        <v>0</v>
      </c>
      <c r="E121">
        <v>0</v>
      </c>
      <c r="F121">
        <v>0</v>
      </c>
      <c r="G121">
        <v>1</v>
      </c>
      <c r="H121">
        <v>0</v>
      </c>
      <c r="I121">
        <v>0</v>
      </c>
      <c r="J121">
        <v>0</v>
      </c>
      <c r="K121">
        <v>0</v>
      </c>
      <c r="L121">
        <v>0</v>
      </c>
      <c r="M121">
        <v>0</v>
      </c>
      <c r="N121">
        <v>1</v>
      </c>
      <c r="O121">
        <v>0</v>
      </c>
      <c r="P121">
        <v>0</v>
      </c>
      <c r="Q121">
        <v>1</v>
      </c>
      <c r="R121">
        <v>1</v>
      </c>
      <c r="S121" t="s">
        <v>238</v>
      </c>
      <c r="T121">
        <v>0</v>
      </c>
      <c r="U121">
        <v>0</v>
      </c>
      <c r="V121">
        <v>0</v>
      </c>
      <c r="W121">
        <v>1</v>
      </c>
      <c r="X121">
        <v>0</v>
      </c>
      <c r="Y121">
        <v>1</v>
      </c>
      <c r="Z121" t="s">
        <v>231</v>
      </c>
      <c r="AA121">
        <v>0</v>
      </c>
      <c r="AB121">
        <v>0</v>
      </c>
      <c r="AC121">
        <v>0</v>
      </c>
      <c r="AD121">
        <v>0</v>
      </c>
      <c r="AE121">
        <v>0</v>
      </c>
      <c r="AF121">
        <v>0</v>
      </c>
      <c r="AG121">
        <v>0</v>
      </c>
      <c r="AH121">
        <v>0</v>
      </c>
      <c r="AI121">
        <v>0</v>
      </c>
      <c r="AJ121">
        <v>0</v>
      </c>
      <c r="AK121">
        <v>0</v>
      </c>
      <c r="AL121">
        <v>1</v>
      </c>
      <c r="AM121">
        <v>1</v>
      </c>
      <c r="AN121">
        <v>0</v>
      </c>
      <c r="AO121">
        <v>0</v>
      </c>
      <c r="AP121">
        <v>0</v>
      </c>
      <c r="AQ121">
        <v>0</v>
      </c>
      <c r="AR121">
        <v>0</v>
      </c>
      <c r="AS121">
        <v>0</v>
      </c>
      <c r="AT121">
        <v>0</v>
      </c>
      <c r="AU121">
        <v>0</v>
      </c>
      <c r="AV121">
        <v>0</v>
      </c>
      <c r="AW121">
        <v>2017</v>
      </c>
    </row>
    <row r="122" spans="1:49" x14ac:dyDescent="0.35">
      <c r="A122" t="s">
        <v>172</v>
      </c>
      <c r="B122" t="s">
        <v>56</v>
      </c>
      <c r="C122">
        <v>0</v>
      </c>
      <c r="D122">
        <v>0</v>
      </c>
      <c r="E122">
        <v>0</v>
      </c>
      <c r="F122">
        <v>0</v>
      </c>
      <c r="G122">
        <v>1</v>
      </c>
      <c r="H122">
        <v>0</v>
      </c>
      <c r="I122">
        <v>0</v>
      </c>
      <c r="J122">
        <v>0</v>
      </c>
      <c r="K122">
        <v>0</v>
      </c>
      <c r="L122">
        <v>0</v>
      </c>
      <c r="M122">
        <v>0</v>
      </c>
      <c r="N122">
        <v>1</v>
      </c>
      <c r="O122">
        <v>0</v>
      </c>
      <c r="P122">
        <v>0</v>
      </c>
      <c r="Q122">
        <v>1</v>
      </c>
      <c r="R122">
        <v>1</v>
      </c>
      <c r="S122" t="s">
        <v>238</v>
      </c>
      <c r="T122">
        <v>0</v>
      </c>
      <c r="U122">
        <v>0</v>
      </c>
      <c r="V122">
        <v>0</v>
      </c>
      <c r="W122">
        <v>1</v>
      </c>
      <c r="X122">
        <v>0</v>
      </c>
      <c r="Y122">
        <v>1</v>
      </c>
      <c r="Z122" t="s">
        <v>231</v>
      </c>
      <c r="AA122">
        <v>0</v>
      </c>
      <c r="AB122">
        <v>0</v>
      </c>
      <c r="AC122">
        <v>0</v>
      </c>
      <c r="AD122">
        <v>0</v>
      </c>
      <c r="AE122">
        <v>0</v>
      </c>
      <c r="AF122">
        <v>0</v>
      </c>
      <c r="AG122">
        <v>0</v>
      </c>
      <c r="AH122">
        <v>0</v>
      </c>
      <c r="AI122">
        <v>0</v>
      </c>
      <c r="AJ122">
        <v>0</v>
      </c>
      <c r="AK122">
        <v>0</v>
      </c>
      <c r="AL122">
        <v>1</v>
      </c>
      <c r="AM122">
        <v>1</v>
      </c>
      <c r="AN122">
        <v>1</v>
      </c>
      <c r="AO122">
        <v>0</v>
      </c>
      <c r="AP122">
        <v>0</v>
      </c>
      <c r="AQ122">
        <v>0</v>
      </c>
      <c r="AR122">
        <v>0</v>
      </c>
      <c r="AS122">
        <v>0</v>
      </c>
      <c r="AT122">
        <v>0</v>
      </c>
      <c r="AU122">
        <v>0</v>
      </c>
      <c r="AV122">
        <v>0</v>
      </c>
      <c r="AW122">
        <v>2019</v>
      </c>
    </row>
    <row r="123" spans="1:49" x14ac:dyDescent="0.35">
      <c r="A123" t="s">
        <v>173</v>
      </c>
      <c r="B123" t="s">
        <v>49</v>
      </c>
      <c r="C123">
        <v>0</v>
      </c>
      <c r="D123">
        <v>0</v>
      </c>
      <c r="E123">
        <v>0</v>
      </c>
      <c r="F123">
        <v>0</v>
      </c>
      <c r="G123">
        <v>1</v>
      </c>
      <c r="H123">
        <v>0</v>
      </c>
      <c r="I123">
        <v>0</v>
      </c>
      <c r="J123">
        <v>0</v>
      </c>
      <c r="K123">
        <v>0</v>
      </c>
      <c r="L123">
        <v>0</v>
      </c>
      <c r="M123">
        <v>0</v>
      </c>
      <c r="N123">
        <v>1</v>
      </c>
      <c r="O123">
        <v>1</v>
      </c>
      <c r="P123">
        <v>1</v>
      </c>
      <c r="Q123">
        <v>0</v>
      </c>
      <c r="R123">
        <v>0</v>
      </c>
      <c r="S123" t="s">
        <v>50</v>
      </c>
      <c r="T123">
        <v>0</v>
      </c>
      <c r="U123">
        <v>0</v>
      </c>
      <c r="V123">
        <v>0</v>
      </c>
      <c r="W123">
        <v>0</v>
      </c>
      <c r="X123">
        <v>0</v>
      </c>
      <c r="Y123">
        <v>1</v>
      </c>
      <c r="Z123" t="s">
        <v>231</v>
      </c>
      <c r="AA123">
        <v>0</v>
      </c>
      <c r="AB123">
        <v>0</v>
      </c>
      <c r="AC123">
        <v>0</v>
      </c>
      <c r="AD123">
        <v>0</v>
      </c>
      <c r="AE123">
        <v>0</v>
      </c>
      <c r="AF123">
        <v>0</v>
      </c>
      <c r="AG123">
        <v>0</v>
      </c>
      <c r="AH123">
        <v>1</v>
      </c>
      <c r="AI123">
        <v>0</v>
      </c>
      <c r="AJ123">
        <v>0</v>
      </c>
      <c r="AK123">
        <v>0</v>
      </c>
      <c r="AL123">
        <v>1</v>
      </c>
      <c r="AM123">
        <v>1</v>
      </c>
      <c r="AN123">
        <v>0</v>
      </c>
      <c r="AO123">
        <v>0</v>
      </c>
      <c r="AP123">
        <v>0</v>
      </c>
      <c r="AQ123">
        <v>0</v>
      </c>
      <c r="AR123">
        <v>0</v>
      </c>
      <c r="AS123">
        <v>0</v>
      </c>
      <c r="AT123">
        <v>0</v>
      </c>
      <c r="AU123">
        <v>0</v>
      </c>
      <c r="AV123">
        <v>0</v>
      </c>
      <c r="AW123">
        <v>2021</v>
      </c>
    </row>
    <row r="124" spans="1:49" x14ac:dyDescent="0.35">
      <c r="A124" t="s">
        <v>174</v>
      </c>
      <c r="B124" t="s">
        <v>56</v>
      </c>
      <c r="C124">
        <v>0</v>
      </c>
      <c r="D124">
        <v>0</v>
      </c>
      <c r="E124">
        <v>0</v>
      </c>
      <c r="F124">
        <v>0</v>
      </c>
      <c r="G124">
        <v>1</v>
      </c>
      <c r="H124">
        <v>0</v>
      </c>
      <c r="I124">
        <v>0</v>
      </c>
      <c r="J124">
        <v>0</v>
      </c>
      <c r="K124">
        <v>0</v>
      </c>
      <c r="L124">
        <v>0</v>
      </c>
      <c r="M124">
        <v>0</v>
      </c>
      <c r="N124">
        <v>1</v>
      </c>
      <c r="O124">
        <v>0</v>
      </c>
      <c r="P124">
        <v>1</v>
      </c>
      <c r="Q124">
        <v>1</v>
      </c>
      <c r="R124">
        <v>1</v>
      </c>
      <c r="S124" t="s">
        <v>50</v>
      </c>
      <c r="T124">
        <v>0</v>
      </c>
      <c r="U124">
        <v>0</v>
      </c>
      <c r="V124">
        <v>0</v>
      </c>
      <c r="W124">
        <v>1</v>
      </c>
      <c r="X124">
        <v>0</v>
      </c>
      <c r="Y124">
        <v>1</v>
      </c>
      <c r="Z124" t="s">
        <v>231</v>
      </c>
      <c r="AA124">
        <v>0</v>
      </c>
      <c r="AB124">
        <v>0</v>
      </c>
      <c r="AC124">
        <v>0</v>
      </c>
      <c r="AD124">
        <v>0</v>
      </c>
      <c r="AE124">
        <v>0</v>
      </c>
      <c r="AF124">
        <v>0</v>
      </c>
      <c r="AG124">
        <v>0</v>
      </c>
      <c r="AH124">
        <v>0</v>
      </c>
      <c r="AI124">
        <v>0</v>
      </c>
      <c r="AJ124">
        <v>1</v>
      </c>
      <c r="AK124">
        <v>0</v>
      </c>
      <c r="AL124">
        <v>1</v>
      </c>
      <c r="AM124">
        <v>0</v>
      </c>
      <c r="AN124">
        <v>0</v>
      </c>
      <c r="AO124">
        <v>0</v>
      </c>
      <c r="AP124">
        <v>1</v>
      </c>
      <c r="AQ124">
        <v>1</v>
      </c>
      <c r="AR124">
        <v>0</v>
      </c>
      <c r="AS124">
        <v>1</v>
      </c>
      <c r="AT124">
        <v>0</v>
      </c>
      <c r="AU124">
        <v>1</v>
      </c>
      <c r="AV124">
        <v>0</v>
      </c>
      <c r="AW124">
        <v>2015</v>
      </c>
    </row>
    <row r="125" spans="1:49" x14ac:dyDescent="0.35">
      <c r="A125" t="s">
        <v>175</v>
      </c>
      <c r="B125" t="s">
        <v>66</v>
      </c>
      <c r="C125">
        <v>0</v>
      </c>
      <c r="D125">
        <v>0</v>
      </c>
      <c r="E125">
        <v>0</v>
      </c>
      <c r="F125">
        <v>0</v>
      </c>
      <c r="G125">
        <v>1</v>
      </c>
      <c r="H125">
        <v>0</v>
      </c>
      <c r="I125">
        <v>0</v>
      </c>
      <c r="J125">
        <v>0</v>
      </c>
      <c r="K125">
        <v>1</v>
      </c>
      <c r="L125">
        <v>0</v>
      </c>
      <c r="M125">
        <v>0</v>
      </c>
      <c r="N125">
        <v>0</v>
      </c>
      <c r="O125">
        <v>0</v>
      </c>
      <c r="P125">
        <v>1</v>
      </c>
      <c r="Q125">
        <v>1</v>
      </c>
      <c r="R125">
        <v>0</v>
      </c>
      <c r="S125" t="s">
        <v>238</v>
      </c>
      <c r="T125">
        <v>0</v>
      </c>
      <c r="U125">
        <v>0</v>
      </c>
      <c r="V125">
        <v>0</v>
      </c>
      <c r="W125">
        <v>0</v>
      </c>
      <c r="X125">
        <v>0</v>
      </c>
      <c r="Y125">
        <v>1</v>
      </c>
      <c r="Z125" t="s">
        <v>231</v>
      </c>
      <c r="AA125">
        <v>0</v>
      </c>
      <c r="AB125">
        <v>0</v>
      </c>
      <c r="AC125">
        <v>0</v>
      </c>
      <c r="AD125">
        <v>0</v>
      </c>
      <c r="AE125">
        <v>0</v>
      </c>
      <c r="AF125">
        <v>0</v>
      </c>
      <c r="AG125">
        <v>0</v>
      </c>
      <c r="AH125">
        <v>0</v>
      </c>
      <c r="AI125">
        <v>0</v>
      </c>
      <c r="AJ125">
        <v>0</v>
      </c>
      <c r="AK125">
        <v>0</v>
      </c>
      <c r="AL125">
        <v>1</v>
      </c>
      <c r="AM125">
        <v>1</v>
      </c>
      <c r="AN125">
        <v>0</v>
      </c>
      <c r="AO125">
        <v>0</v>
      </c>
      <c r="AP125">
        <v>0</v>
      </c>
      <c r="AQ125">
        <v>0</v>
      </c>
      <c r="AR125">
        <v>0</v>
      </c>
      <c r="AS125">
        <v>0</v>
      </c>
      <c r="AT125">
        <v>0</v>
      </c>
      <c r="AU125">
        <v>0</v>
      </c>
      <c r="AV125">
        <v>0</v>
      </c>
      <c r="AW125">
        <v>2021</v>
      </c>
    </row>
    <row r="126" spans="1:49" x14ac:dyDescent="0.35">
      <c r="A126" t="s">
        <v>176</v>
      </c>
      <c r="B126" t="s">
        <v>66</v>
      </c>
      <c r="C126">
        <v>0</v>
      </c>
      <c r="D126">
        <v>0</v>
      </c>
      <c r="E126">
        <v>0</v>
      </c>
      <c r="F126">
        <v>0</v>
      </c>
      <c r="G126">
        <v>1</v>
      </c>
      <c r="H126">
        <v>0</v>
      </c>
      <c r="I126">
        <v>0</v>
      </c>
      <c r="J126">
        <v>0</v>
      </c>
      <c r="K126">
        <v>0</v>
      </c>
      <c r="L126">
        <v>0</v>
      </c>
      <c r="M126">
        <v>0</v>
      </c>
      <c r="N126">
        <v>1</v>
      </c>
      <c r="O126">
        <v>1</v>
      </c>
      <c r="P126">
        <v>1</v>
      </c>
      <c r="Q126">
        <v>0</v>
      </c>
      <c r="R126">
        <v>0</v>
      </c>
      <c r="S126" t="s">
        <v>52</v>
      </c>
      <c r="T126">
        <v>0</v>
      </c>
      <c r="U126">
        <v>0</v>
      </c>
      <c r="V126">
        <v>1</v>
      </c>
      <c r="W126">
        <v>0</v>
      </c>
      <c r="X126">
        <v>0</v>
      </c>
      <c r="Y126">
        <v>0</v>
      </c>
      <c r="Z126" t="s">
        <v>232</v>
      </c>
      <c r="AA126">
        <v>0</v>
      </c>
      <c r="AB126">
        <v>0</v>
      </c>
      <c r="AC126">
        <v>0</v>
      </c>
      <c r="AD126">
        <v>0</v>
      </c>
      <c r="AE126">
        <v>0</v>
      </c>
      <c r="AF126">
        <v>0</v>
      </c>
      <c r="AG126">
        <v>0</v>
      </c>
      <c r="AH126">
        <v>0</v>
      </c>
      <c r="AI126">
        <v>0</v>
      </c>
      <c r="AJ126">
        <v>0</v>
      </c>
      <c r="AK126">
        <v>0</v>
      </c>
      <c r="AL126">
        <v>1</v>
      </c>
      <c r="AM126">
        <v>0</v>
      </c>
      <c r="AN126">
        <v>0</v>
      </c>
      <c r="AO126">
        <v>0</v>
      </c>
      <c r="AP126">
        <v>0</v>
      </c>
      <c r="AQ126">
        <v>0</v>
      </c>
      <c r="AR126">
        <v>0</v>
      </c>
      <c r="AS126">
        <v>1</v>
      </c>
      <c r="AT126">
        <v>0</v>
      </c>
      <c r="AU126">
        <v>0</v>
      </c>
      <c r="AV126">
        <v>0</v>
      </c>
      <c r="AW126">
        <v>2020</v>
      </c>
    </row>
    <row r="127" spans="1:49" x14ac:dyDescent="0.35">
      <c r="A127" t="s">
        <v>177</v>
      </c>
      <c r="B127" t="s">
        <v>56</v>
      </c>
      <c r="C127">
        <v>0</v>
      </c>
      <c r="D127">
        <v>0</v>
      </c>
      <c r="E127">
        <v>1</v>
      </c>
      <c r="F127">
        <v>0</v>
      </c>
      <c r="G127">
        <v>0</v>
      </c>
      <c r="H127">
        <v>1</v>
      </c>
      <c r="I127">
        <v>0</v>
      </c>
      <c r="J127">
        <v>0</v>
      </c>
      <c r="K127">
        <v>0</v>
      </c>
      <c r="L127">
        <v>0</v>
      </c>
      <c r="M127">
        <v>0</v>
      </c>
      <c r="N127">
        <v>0</v>
      </c>
      <c r="O127">
        <v>1</v>
      </c>
      <c r="P127">
        <v>0</v>
      </c>
      <c r="Q127">
        <v>0</v>
      </c>
      <c r="R127">
        <v>1</v>
      </c>
      <c r="S127" t="s">
        <v>235</v>
      </c>
      <c r="T127">
        <v>0</v>
      </c>
      <c r="U127">
        <v>0</v>
      </c>
      <c r="V127">
        <v>1</v>
      </c>
      <c r="W127">
        <v>1</v>
      </c>
      <c r="X127">
        <v>0</v>
      </c>
      <c r="Y127">
        <v>0</v>
      </c>
      <c r="Z127" t="s">
        <v>230</v>
      </c>
      <c r="AA127">
        <v>0</v>
      </c>
      <c r="AB127">
        <v>0</v>
      </c>
      <c r="AC127">
        <v>0</v>
      </c>
      <c r="AD127">
        <v>0</v>
      </c>
      <c r="AE127">
        <v>0</v>
      </c>
      <c r="AF127">
        <v>0</v>
      </c>
      <c r="AG127">
        <v>0</v>
      </c>
      <c r="AH127">
        <v>1</v>
      </c>
      <c r="AI127">
        <v>0</v>
      </c>
      <c r="AJ127">
        <v>0</v>
      </c>
      <c r="AK127">
        <v>0</v>
      </c>
      <c r="AL127">
        <v>0</v>
      </c>
      <c r="AM127">
        <v>0</v>
      </c>
      <c r="AN127">
        <v>0</v>
      </c>
      <c r="AO127">
        <v>0</v>
      </c>
      <c r="AP127">
        <v>0</v>
      </c>
      <c r="AQ127">
        <v>0</v>
      </c>
      <c r="AR127">
        <v>0</v>
      </c>
      <c r="AS127">
        <v>1</v>
      </c>
      <c r="AT127">
        <v>0</v>
      </c>
      <c r="AU127">
        <v>0</v>
      </c>
      <c r="AV127">
        <v>0</v>
      </c>
      <c r="AW127">
        <v>2018</v>
      </c>
    </row>
    <row r="128" spans="1:49" x14ac:dyDescent="0.35">
      <c r="A128" t="s">
        <v>178</v>
      </c>
      <c r="B128" t="s">
        <v>49</v>
      </c>
      <c r="C128">
        <v>0</v>
      </c>
      <c r="D128">
        <v>0</v>
      </c>
      <c r="E128">
        <v>0</v>
      </c>
      <c r="F128">
        <v>0</v>
      </c>
      <c r="G128">
        <v>1</v>
      </c>
      <c r="H128">
        <v>0</v>
      </c>
      <c r="I128">
        <v>0</v>
      </c>
      <c r="J128">
        <v>0</v>
      </c>
      <c r="K128">
        <v>1</v>
      </c>
      <c r="L128">
        <v>0</v>
      </c>
      <c r="M128">
        <v>0</v>
      </c>
      <c r="N128">
        <v>0</v>
      </c>
      <c r="O128">
        <v>1</v>
      </c>
      <c r="P128">
        <v>0</v>
      </c>
      <c r="Q128">
        <v>1</v>
      </c>
      <c r="R128">
        <v>0</v>
      </c>
      <c r="S128" t="s">
        <v>50</v>
      </c>
      <c r="T128">
        <v>1</v>
      </c>
      <c r="U128">
        <v>0</v>
      </c>
      <c r="V128">
        <v>0</v>
      </c>
      <c r="W128">
        <v>0</v>
      </c>
      <c r="X128">
        <v>0</v>
      </c>
      <c r="Y128">
        <v>0</v>
      </c>
      <c r="Z128" t="s">
        <v>230</v>
      </c>
      <c r="AA128">
        <v>0</v>
      </c>
      <c r="AB128">
        <v>1</v>
      </c>
      <c r="AC128">
        <v>0</v>
      </c>
      <c r="AD128">
        <v>0</v>
      </c>
      <c r="AE128">
        <v>0</v>
      </c>
      <c r="AF128">
        <v>0</v>
      </c>
      <c r="AG128">
        <v>0</v>
      </c>
      <c r="AH128">
        <v>0</v>
      </c>
      <c r="AI128">
        <v>0</v>
      </c>
      <c r="AJ128">
        <v>0</v>
      </c>
      <c r="AK128">
        <v>0</v>
      </c>
      <c r="AL128">
        <v>0</v>
      </c>
      <c r="AM128">
        <v>0</v>
      </c>
      <c r="AN128">
        <v>0</v>
      </c>
      <c r="AO128">
        <v>0</v>
      </c>
      <c r="AP128">
        <v>0</v>
      </c>
      <c r="AQ128">
        <v>0</v>
      </c>
      <c r="AR128">
        <v>0</v>
      </c>
      <c r="AS128">
        <v>1</v>
      </c>
      <c r="AT128">
        <v>0</v>
      </c>
      <c r="AU128">
        <v>0</v>
      </c>
      <c r="AV128">
        <v>0</v>
      </c>
      <c r="AW128">
        <v>2020</v>
      </c>
    </row>
    <row r="129" spans="1:49" x14ac:dyDescent="0.35">
      <c r="A129" t="s">
        <v>179</v>
      </c>
      <c r="B129" t="s">
        <v>66</v>
      </c>
      <c r="C129">
        <v>0</v>
      </c>
      <c r="D129">
        <v>0</v>
      </c>
      <c r="E129">
        <v>1</v>
      </c>
      <c r="F129">
        <v>0</v>
      </c>
      <c r="G129">
        <v>0</v>
      </c>
      <c r="H129">
        <v>0</v>
      </c>
      <c r="I129">
        <v>0</v>
      </c>
      <c r="J129">
        <v>0</v>
      </c>
      <c r="K129">
        <v>0</v>
      </c>
      <c r="L129">
        <v>0</v>
      </c>
      <c r="M129">
        <v>0</v>
      </c>
      <c r="N129">
        <v>1</v>
      </c>
      <c r="O129">
        <v>1</v>
      </c>
      <c r="P129">
        <v>0</v>
      </c>
      <c r="Q129">
        <v>0</v>
      </c>
      <c r="R129">
        <v>1</v>
      </c>
      <c r="S129" t="s">
        <v>50</v>
      </c>
      <c r="T129">
        <v>0</v>
      </c>
      <c r="U129">
        <v>0</v>
      </c>
      <c r="V129">
        <v>1</v>
      </c>
      <c r="W129">
        <v>1</v>
      </c>
      <c r="X129">
        <v>0</v>
      </c>
      <c r="Y129">
        <v>0</v>
      </c>
      <c r="Z129" t="s">
        <v>231</v>
      </c>
      <c r="AA129">
        <v>0</v>
      </c>
      <c r="AB129">
        <v>0</v>
      </c>
      <c r="AC129">
        <v>0</v>
      </c>
      <c r="AD129">
        <v>0</v>
      </c>
      <c r="AE129">
        <v>0</v>
      </c>
      <c r="AF129">
        <v>0</v>
      </c>
      <c r="AG129">
        <v>1</v>
      </c>
      <c r="AH129">
        <v>0</v>
      </c>
      <c r="AI129">
        <v>0</v>
      </c>
      <c r="AJ129">
        <v>0</v>
      </c>
      <c r="AK129">
        <v>0</v>
      </c>
      <c r="AL129">
        <v>0</v>
      </c>
      <c r="AM129">
        <v>1</v>
      </c>
      <c r="AN129">
        <v>0</v>
      </c>
      <c r="AO129">
        <v>0</v>
      </c>
      <c r="AP129">
        <v>0</v>
      </c>
      <c r="AQ129">
        <v>0</v>
      </c>
      <c r="AR129">
        <v>0</v>
      </c>
      <c r="AS129">
        <v>1</v>
      </c>
      <c r="AT129">
        <v>0</v>
      </c>
      <c r="AU129">
        <v>0</v>
      </c>
      <c r="AV129">
        <v>0</v>
      </c>
      <c r="AW129">
        <v>2018</v>
      </c>
    </row>
    <row r="130" spans="1:49" x14ac:dyDescent="0.35">
      <c r="A130" t="s">
        <v>180</v>
      </c>
      <c r="B130" t="s">
        <v>56</v>
      </c>
      <c r="C130">
        <v>0</v>
      </c>
      <c r="D130">
        <v>0</v>
      </c>
      <c r="E130">
        <v>0</v>
      </c>
      <c r="F130">
        <v>0</v>
      </c>
      <c r="G130">
        <v>1</v>
      </c>
      <c r="H130">
        <v>1</v>
      </c>
      <c r="I130">
        <v>0</v>
      </c>
      <c r="J130">
        <v>0</v>
      </c>
      <c r="K130">
        <v>0</v>
      </c>
      <c r="L130">
        <v>0</v>
      </c>
      <c r="M130">
        <v>0</v>
      </c>
      <c r="N130">
        <v>0</v>
      </c>
      <c r="O130">
        <v>0</v>
      </c>
      <c r="P130">
        <v>0</v>
      </c>
      <c r="Q130">
        <v>1</v>
      </c>
      <c r="R130">
        <v>0</v>
      </c>
      <c r="S130" t="s">
        <v>50</v>
      </c>
      <c r="T130">
        <v>0</v>
      </c>
      <c r="U130">
        <v>0</v>
      </c>
      <c r="V130">
        <v>0</v>
      </c>
      <c r="W130">
        <v>0</v>
      </c>
      <c r="X130">
        <v>0</v>
      </c>
      <c r="Y130">
        <v>1</v>
      </c>
      <c r="Z130" t="s">
        <v>231</v>
      </c>
      <c r="AA130">
        <v>0</v>
      </c>
      <c r="AB130">
        <v>0</v>
      </c>
      <c r="AC130">
        <v>0</v>
      </c>
      <c r="AD130">
        <v>0</v>
      </c>
      <c r="AE130">
        <v>0</v>
      </c>
      <c r="AF130">
        <v>0</v>
      </c>
      <c r="AG130">
        <v>0</v>
      </c>
      <c r="AH130">
        <v>0</v>
      </c>
      <c r="AI130">
        <v>0</v>
      </c>
      <c r="AJ130">
        <v>0</v>
      </c>
      <c r="AK130">
        <v>0</v>
      </c>
      <c r="AL130">
        <v>1</v>
      </c>
      <c r="AM130">
        <v>1</v>
      </c>
      <c r="AN130">
        <v>0</v>
      </c>
      <c r="AO130">
        <v>1</v>
      </c>
      <c r="AP130">
        <v>0</v>
      </c>
      <c r="AQ130">
        <v>0</v>
      </c>
      <c r="AR130">
        <v>0</v>
      </c>
      <c r="AS130">
        <v>0</v>
      </c>
      <c r="AT130">
        <v>0</v>
      </c>
      <c r="AU130">
        <v>0</v>
      </c>
      <c r="AV130">
        <v>0</v>
      </c>
      <c r="AW130">
        <v>2017</v>
      </c>
    </row>
    <row r="131" spans="1:49" x14ac:dyDescent="0.35">
      <c r="A131" t="s">
        <v>181</v>
      </c>
      <c r="B131" t="s">
        <v>49</v>
      </c>
      <c r="C131">
        <v>0</v>
      </c>
      <c r="D131">
        <v>0</v>
      </c>
      <c r="E131">
        <v>0</v>
      </c>
      <c r="F131">
        <v>0</v>
      </c>
      <c r="G131">
        <v>1</v>
      </c>
      <c r="H131">
        <v>0</v>
      </c>
      <c r="I131">
        <v>0</v>
      </c>
      <c r="J131">
        <v>0</v>
      </c>
      <c r="K131">
        <v>1</v>
      </c>
      <c r="L131">
        <v>0</v>
      </c>
      <c r="M131">
        <v>0</v>
      </c>
      <c r="N131">
        <v>0</v>
      </c>
      <c r="O131">
        <v>1</v>
      </c>
      <c r="P131">
        <v>0</v>
      </c>
      <c r="Q131">
        <v>0</v>
      </c>
      <c r="R131">
        <v>0</v>
      </c>
      <c r="S131" t="s">
        <v>50</v>
      </c>
      <c r="T131">
        <v>0</v>
      </c>
      <c r="U131">
        <v>0</v>
      </c>
      <c r="V131">
        <v>0</v>
      </c>
      <c r="W131">
        <v>1</v>
      </c>
      <c r="X131">
        <v>0</v>
      </c>
      <c r="Y131">
        <v>1</v>
      </c>
      <c r="Z131" t="s">
        <v>231</v>
      </c>
      <c r="AA131">
        <v>0</v>
      </c>
      <c r="AB131">
        <v>0</v>
      </c>
      <c r="AC131">
        <v>0</v>
      </c>
      <c r="AD131">
        <v>0</v>
      </c>
      <c r="AE131">
        <v>0</v>
      </c>
      <c r="AF131">
        <v>0</v>
      </c>
      <c r="AG131">
        <v>0</v>
      </c>
      <c r="AH131">
        <v>0</v>
      </c>
      <c r="AI131">
        <v>0</v>
      </c>
      <c r="AJ131">
        <v>0</v>
      </c>
      <c r="AK131">
        <v>0</v>
      </c>
      <c r="AL131">
        <v>1</v>
      </c>
      <c r="AM131">
        <v>0</v>
      </c>
      <c r="AN131">
        <v>0</v>
      </c>
      <c r="AO131">
        <v>1</v>
      </c>
      <c r="AP131">
        <v>1</v>
      </c>
      <c r="AQ131">
        <v>0</v>
      </c>
      <c r="AR131">
        <v>0</v>
      </c>
      <c r="AS131">
        <v>0</v>
      </c>
      <c r="AT131">
        <v>0</v>
      </c>
      <c r="AU131">
        <v>1</v>
      </c>
      <c r="AV131">
        <v>0</v>
      </c>
      <c r="AW131">
        <v>2020</v>
      </c>
    </row>
    <row r="132" spans="1:49" x14ac:dyDescent="0.35">
      <c r="A132" t="s">
        <v>182</v>
      </c>
      <c r="B132" t="s">
        <v>49</v>
      </c>
      <c r="C132">
        <v>1</v>
      </c>
      <c r="D132">
        <v>0</v>
      </c>
      <c r="E132">
        <v>1</v>
      </c>
      <c r="F132">
        <v>0</v>
      </c>
      <c r="G132">
        <v>0</v>
      </c>
      <c r="H132">
        <v>0</v>
      </c>
      <c r="I132">
        <v>0</v>
      </c>
      <c r="J132">
        <v>0</v>
      </c>
      <c r="K132">
        <v>0</v>
      </c>
      <c r="L132">
        <v>0</v>
      </c>
      <c r="M132">
        <v>0</v>
      </c>
      <c r="N132">
        <v>1</v>
      </c>
      <c r="O132">
        <v>1</v>
      </c>
      <c r="P132">
        <v>0</v>
      </c>
      <c r="Q132">
        <v>0</v>
      </c>
      <c r="R132">
        <v>0</v>
      </c>
      <c r="S132" t="s">
        <v>50</v>
      </c>
      <c r="T132">
        <v>0</v>
      </c>
      <c r="U132">
        <v>0</v>
      </c>
      <c r="V132">
        <v>0</v>
      </c>
      <c r="W132">
        <v>0</v>
      </c>
      <c r="X132">
        <v>1</v>
      </c>
      <c r="Y132">
        <v>0</v>
      </c>
      <c r="Z132" t="s">
        <v>231</v>
      </c>
      <c r="AA132">
        <v>0</v>
      </c>
      <c r="AB132">
        <v>0</v>
      </c>
      <c r="AC132">
        <v>0</v>
      </c>
      <c r="AD132">
        <v>0</v>
      </c>
      <c r="AE132">
        <v>0</v>
      </c>
      <c r="AF132">
        <v>1</v>
      </c>
      <c r="AG132">
        <v>0</v>
      </c>
      <c r="AH132">
        <v>0</v>
      </c>
      <c r="AI132">
        <v>0</v>
      </c>
      <c r="AJ132">
        <v>0</v>
      </c>
      <c r="AK132">
        <v>0</v>
      </c>
      <c r="AL132">
        <v>0</v>
      </c>
      <c r="AM132">
        <v>0</v>
      </c>
      <c r="AN132">
        <v>0</v>
      </c>
      <c r="AO132">
        <v>0</v>
      </c>
      <c r="AP132">
        <v>0</v>
      </c>
      <c r="AQ132">
        <v>0</v>
      </c>
      <c r="AR132">
        <v>0</v>
      </c>
      <c r="AS132">
        <v>1</v>
      </c>
      <c r="AT132">
        <v>0</v>
      </c>
      <c r="AU132">
        <v>0</v>
      </c>
      <c r="AV132">
        <v>0</v>
      </c>
      <c r="AW132">
        <v>2016</v>
      </c>
    </row>
    <row r="133" spans="1:49" x14ac:dyDescent="0.35">
      <c r="A133" t="s">
        <v>183</v>
      </c>
      <c r="B133" t="s">
        <v>56</v>
      </c>
      <c r="C133">
        <v>0</v>
      </c>
      <c r="D133">
        <v>0</v>
      </c>
      <c r="E133">
        <v>1</v>
      </c>
      <c r="F133">
        <v>0</v>
      </c>
      <c r="G133">
        <v>0</v>
      </c>
      <c r="H133">
        <v>1</v>
      </c>
      <c r="I133">
        <v>0</v>
      </c>
      <c r="J133">
        <v>0</v>
      </c>
      <c r="K133">
        <v>0</v>
      </c>
      <c r="L133">
        <v>0</v>
      </c>
      <c r="M133">
        <v>0</v>
      </c>
      <c r="N133">
        <v>0</v>
      </c>
      <c r="O133">
        <v>0</v>
      </c>
      <c r="P133">
        <v>0</v>
      </c>
      <c r="Q133">
        <v>1</v>
      </c>
      <c r="R133">
        <v>1</v>
      </c>
      <c r="S133" t="s">
        <v>50</v>
      </c>
      <c r="T133">
        <v>0</v>
      </c>
      <c r="U133">
        <v>0</v>
      </c>
      <c r="V133">
        <v>0</v>
      </c>
      <c r="W133">
        <v>1</v>
      </c>
      <c r="X133">
        <v>0</v>
      </c>
      <c r="Y133">
        <v>1</v>
      </c>
      <c r="Z133" t="s">
        <v>231</v>
      </c>
      <c r="AA133">
        <v>0</v>
      </c>
      <c r="AB133">
        <v>0</v>
      </c>
      <c r="AC133">
        <v>0</v>
      </c>
      <c r="AD133">
        <v>0</v>
      </c>
      <c r="AE133">
        <v>0</v>
      </c>
      <c r="AF133">
        <v>0</v>
      </c>
      <c r="AG133">
        <v>0</v>
      </c>
      <c r="AH133">
        <v>0</v>
      </c>
      <c r="AI133">
        <v>0</v>
      </c>
      <c r="AJ133">
        <v>0</v>
      </c>
      <c r="AK133">
        <v>0</v>
      </c>
      <c r="AL133">
        <v>1</v>
      </c>
      <c r="AM133">
        <v>1</v>
      </c>
      <c r="AN133">
        <v>0</v>
      </c>
      <c r="AO133">
        <v>1</v>
      </c>
      <c r="AP133">
        <v>0</v>
      </c>
      <c r="AQ133">
        <v>0</v>
      </c>
      <c r="AR133">
        <v>0</v>
      </c>
      <c r="AS133">
        <v>0</v>
      </c>
      <c r="AT133">
        <v>0</v>
      </c>
      <c r="AU133">
        <v>1</v>
      </c>
      <c r="AV133">
        <v>0</v>
      </c>
      <c r="AW133">
        <v>2012</v>
      </c>
    </row>
    <row r="134" spans="1:49" x14ac:dyDescent="0.35">
      <c r="A134" t="s">
        <v>184</v>
      </c>
      <c r="B134" t="s">
        <v>56</v>
      </c>
      <c r="C134">
        <v>0</v>
      </c>
      <c r="D134">
        <v>0</v>
      </c>
      <c r="E134">
        <v>0</v>
      </c>
      <c r="F134">
        <v>0</v>
      </c>
      <c r="G134">
        <v>1</v>
      </c>
      <c r="H134">
        <v>0</v>
      </c>
      <c r="I134">
        <v>0</v>
      </c>
      <c r="J134">
        <v>0</v>
      </c>
      <c r="K134">
        <v>0</v>
      </c>
      <c r="L134">
        <v>0</v>
      </c>
      <c r="M134">
        <v>0</v>
      </c>
      <c r="N134">
        <v>1</v>
      </c>
      <c r="O134">
        <v>0</v>
      </c>
      <c r="P134">
        <v>0</v>
      </c>
      <c r="Q134">
        <v>1</v>
      </c>
      <c r="R134">
        <v>0</v>
      </c>
      <c r="S134" t="s">
        <v>50</v>
      </c>
      <c r="T134">
        <v>0</v>
      </c>
      <c r="U134">
        <v>0</v>
      </c>
      <c r="V134">
        <v>0</v>
      </c>
      <c r="W134">
        <v>1</v>
      </c>
      <c r="X134">
        <v>0</v>
      </c>
      <c r="Y134">
        <v>1</v>
      </c>
      <c r="Z134" t="s">
        <v>231</v>
      </c>
      <c r="AA134">
        <v>0</v>
      </c>
      <c r="AB134">
        <v>0</v>
      </c>
      <c r="AC134">
        <v>0</v>
      </c>
      <c r="AD134">
        <v>0</v>
      </c>
      <c r="AE134">
        <v>0</v>
      </c>
      <c r="AF134">
        <v>0</v>
      </c>
      <c r="AG134">
        <v>0</v>
      </c>
      <c r="AH134">
        <v>0</v>
      </c>
      <c r="AI134">
        <v>0</v>
      </c>
      <c r="AJ134">
        <v>0</v>
      </c>
      <c r="AK134">
        <v>0</v>
      </c>
      <c r="AL134">
        <v>1</v>
      </c>
      <c r="AM134">
        <v>1</v>
      </c>
      <c r="AN134">
        <v>0</v>
      </c>
      <c r="AO134">
        <v>0</v>
      </c>
      <c r="AP134">
        <v>0</v>
      </c>
      <c r="AQ134">
        <v>0</v>
      </c>
      <c r="AR134">
        <v>0</v>
      </c>
      <c r="AS134">
        <v>0</v>
      </c>
      <c r="AT134">
        <v>0</v>
      </c>
      <c r="AU134">
        <v>0</v>
      </c>
      <c r="AV134">
        <v>0</v>
      </c>
      <c r="AW134">
        <v>2020</v>
      </c>
    </row>
    <row r="135" spans="1:49" x14ac:dyDescent="0.35">
      <c r="A135" t="s">
        <v>185</v>
      </c>
      <c r="B135" t="s">
        <v>66</v>
      </c>
      <c r="C135">
        <v>0</v>
      </c>
      <c r="D135">
        <v>0</v>
      </c>
      <c r="E135">
        <v>0</v>
      </c>
      <c r="F135">
        <v>0</v>
      </c>
      <c r="G135">
        <v>1</v>
      </c>
      <c r="H135">
        <v>0</v>
      </c>
      <c r="I135">
        <v>0</v>
      </c>
      <c r="J135">
        <v>1</v>
      </c>
      <c r="K135">
        <v>0</v>
      </c>
      <c r="L135">
        <v>0</v>
      </c>
      <c r="M135">
        <v>1</v>
      </c>
      <c r="N135">
        <v>0</v>
      </c>
      <c r="O135">
        <v>0</v>
      </c>
      <c r="P135">
        <v>0</v>
      </c>
      <c r="Q135">
        <v>0</v>
      </c>
      <c r="R135">
        <v>1</v>
      </c>
      <c r="S135" t="s">
        <v>52</v>
      </c>
      <c r="T135">
        <v>0</v>
      </c>
      <c r="U135">
        <v>0</v>
      </c>
      <c r="V135">
        <v>0</v>
      </c>
      <c r="W135">
        <v>1</v>
      </c>
      <c r="X135">
        <v>0</v>
      </c>
      <c r="Y135">
        <v>0</v>
      </c>
      <c r="Z135" t="s">
        <v>232</v>
      </c>
      <c r="AA135">
        <v>0</v>
      </c>
      <c r="AB135">
        <v>0</v>
      </c>
      <c r="AC135">
        <v>0</v>
      </c>
      <c r="AD135">
        <v>0</v>
      </c>
      <c r="AE135">
        <v>0</v>
      </c>
      <c r="AF135">
        <v>0</v>
      </c>
      <c r="AG135">
        <v>0</v>
      </c>
      <c r="AH135">
        <v>0</v>
      </c>
      <c r="AI135">
        <v>0</v>
      </c>
      <c r="AJ135">
        <v>0</v>
      </c>
      <c r="AK135">
        <v>0</v>
      </c>
      <c r="AL135">
        <v>1</v>
      </c>
      <c r="AM135">
        <v>0</v>
      </c>
      <c r="AN135">
        <v>0</v>
      </c>
      <c r="AO135">
        <v>0</v>
      </c>
      <c r="AP135">
        <v>0</v>
      </c>
      <c r="AQ135">
        <v>0</v>
      </c>
      <c r="AR135">
        <v>0</v>
      </c>
      <c r="AS135">
        <v>1</v>
      </c>
      <c r="AT135">
        <v>0</v>
      </c>
      <c r="AU135">
        <v>0</v>
      </c>
      <c r="AV135">
        <v>0</v>
      </c>
      <c r="AW135">
        <v>2020</v>
      </c>
    </row>
    <row r="136" spans="1:49" x14ac:dyDescent="0.35">
      <c r="A136" t="s">
        <v>186</v>
      </c>
      <c r="B136" t="s">
        <v>56</v>
      </c>
      <c r="C136">
        <v>0</v>
      </c>
      <c r="D136">
        <v>0</v>
      </c>
      <c r="E136">
        <v>0</v>
      </c>
      <c r="F136">
        <v>0</v>
      </c>
      <c r="G136">
        <v>1</v>
      </c>
      <c r="H136">
        <v>1</v>
      </c>
      <c r="I136">
        <v>0</v>
      </c>
      <c r="J136">
        <v>0</v>
      </c>
      <c r="K136">
        <v>0</v>
      </c>
      <c r="L136">
        <v>0</v>
      </c>
      <c r="M136">
        <v>0</v>
      </c>
      <c r="N136">
        <v>0</v>
      </c>
      <c r="O136">
        <v>0</v>
      </c>
      <c r="P136">
        <v>1</v>
      </c>
      <c r="Q136">
        <v>1</v>
      </c>
      <c r="R136">
        <v>0</v>
      </c>
      <c r="S136" t="s">
        <v>50</v>
      </c>
      <c r="T136">
        <v>0</v>
      </c>
      <c r="U136">
        <v>0</v>
      </c>
      <c r="V136">
        <v>0</v>
      </c>
      <c r="W136">
        <v>0</v>
      </c>
      <c r="X136">
        <v>0</v>
      </c>
      <c r="Y136">
        <v>1</v>
      </c>
      <c r="Z136" t="s">
        <v>231</v>
      </c>
      <c r="AA136">
        <v>0</v>
      </c>
      <c r="AB136">
        <v>0</v>
      </c>
      <c r="AC136">
        <v>0</v>
      </c>
      <c r="AD136">
        <v>0</v>
      </c>
      <c r="AE136">
        <v>0</v>
      </c>
      <c r="AF136">
        <v>0</v>
      </c>
      <c r="AG136">
        <v>0</v>
      </c>
      <c r="AH136">
        <v>1</v>
      </c>
      <c r="AI136">
        <v>0</v>
      </c>
      <c r="AJ136">
        <v>0</v>
      </c>
      <c r="AK136">
        <v>0</v>
      </c>
      <c r="AL136">
        <v>1</v>
      </c>
      <c r="AM136">
        <v>1</v>
      </c>
      <c r="AN136">
        <v>0</v>
      </c>
      <c r="AO136">
        <v>0</v>
      </c>
      <c r="AP136">
        <v>0</v>
      </c>
      <c r="AQ136">
        <v>0</v>
      </c>
      <c r="AR136">
        <v>0</v>
      </c>
      <c r="AS136">
        <v>0</v>
      </c>
      <c r="AT136">
        <v>0</v>
      </c>
      <c r="AU136">
        <v>1</v>
      </c>
      <c r="AV136">
        <v>0</v>
      </c>
      <c r="AW136">
        <v>2021</v>
      </c>
    </row>
    <row r="137" spans="1:49" x14ac:dyDescent="0.35">
      <c r="A137" t="s">
        <v>187</v>
      </c>
      <c r="B137" t="s">
        <v>56</v>
      </c>
      <c r="C137">
        <v>1</v>
      </c>
      <c r="D137">
        <v>0</v>
      </c>
      <c r="E137">
        <v>0</v>
      </c>
      <c r="F137">
        <v>0</v>
      </c>
      <c r="G137">
        <v>0</v>
      </c>
      <c r="H137">
        <v>1</v>
      </c>
      <c r="I137">
        <v>0</v>
      </c>
      <c r="J137">
        <v>0</v>
      </c>
      <c r="K137">
        <v>0</v>
      </c>
      <c r="L137">
        <v>0</v>
      </c>
      <c r="M137">
        <v>0</v>
      </c>
      <c r="N137">
        <v>0</v>
      </c>
      <c r="O137">
        <v>0</v>
      </c>
      <c r="P137">
        <v>0</v>
      </c>
      <c r="Q137">
        <v>1</v>
      </c>
      <c r="R137">
        <v>1</v>
      </c>
      <c r="S137" t="s">
        <v>50</v>
      </c>
      <c r="T137">
        <v>0</v>
      </c>
      <c r="U137">
        <v>0</v>
      </c>
      <c r="V137">
        <v>0</v>
      </c>
      <c r="W137">
        <v>1</v>
      </c>
      <c r="X137">
        <v>0</v>
      </c>
      <c r="Y137">
        <v>1</v>
      </c>
      <c r="Z137" t="s">
        <v>231</v>
      </c>
      <c r="AA137">
        <v>0</v>
      </c>
      <c r="AB137">
        <v>0</v>
      </c>
      <c r="AC137">
        <v>0</v>
      </c>
      <c r="AD137">
        <v>0</v>
      </c>
      <c r="AE137">
        <v>0</v>
      </c>
      <c r="AF137">
        <v>0</v>
      </c>
      <c r="AG137">
        <v>0</v>
      </c>
      <c r="AH137">
        <v>0</v>
      </c>
      <c r="AI137">
        <v>0</v>
      </c>
      <c r="AJ137">
        <v>0</v>
      </c>
      <c r="AK137">
        <v>0</v>
      </c>
      <c r="AL137">
        <v>1</v>
      </c>
      <c r="AM137">
        <v>1</v>
      </c>
      <c r="AN137">
        <v>1</v>
      </c>
      <c r="AO137">
        <v>1</v>
      </c>
      <c r="AP137">
        <v>0</v>
      </c>
      <c r="AQ137">
        <v>0</v>
      </c>
      <c r="AR137">
        <v>0</v>
      </c>
      <c r="AS137">
        <v>0</v>
      </c>
      <c r="AT137">
        <v>0</v>
      </c>
      <c r="AU137">
        <v>0</v>
      </c>
      <c r="AV137">
        <v>0</v>
      </c>
      <c r="AW137">
        <v>2017</v>
      </c>
    </row>
    <row r="138" spans="1:49" x14ac:dyDescent="0.35">
      <c r="A138" t="s">
        <v>188</v>
      </c>
      <c r="B138" t="s">
        <v>56</v>
      </c>
      <c r="C138">
        <v>0</v>
      </c>
      <c r="D138">
        <v>0</v>
      </c>
      <c r="E138">
        <v>0</v>
      </c>
      <c r="F138">
        <v>0</v>
      </c>
      <c r="G138">
        <v>1</v>
      </c>
      <c r="H138">
        <v>1</v>
      </c>
      <c r="I138">
        <v>0</v>
      </c>
      <c r="J138">
        <v>0</v>
      </c>
      <c r="K138">
        <v>0</v>
      </c>
      <c r="L138">
        <v>0</v>
      </c>
      <c r="M138">
        <v>0</v>
      </c>
      <c r="N138">
        <v>0</v>
      </c>
      <c r="O138">
        <v>0</v>
      </c>
      <c r="P138">
        <v>0</v>
      </c>
      <c r="Q138">
        <v>1</v>
      </c>
      <c r="R138">
        <v>0</v>
      </c>
      <c r="S138" t="s">
        <v>50</v>
      </c>
      <c r="T138">
        <v>0</v>
      </c>
      <c r="U138">
        <v>0</v>
      </c>
      <c r="V138">
        <v>0</v>
      </c>
      <c r="W138">
        <v>0</v>
      </c>
      <c r="X138">
        <v>0</v>
      </c>
      <c r="Y138">
        <v>1</v>
      </c>
      <c r="Z138" t="s">
        <v>231</v>
      </c>
      <c r="AA138">
        <v>0</v>
      </c>
      <c r="AB138">
        <v>0</v>
      </c>
      <c r="AC138">
        <v>0</v>
      </c>
      <c r="AD138">
        <v>0</v>
      </c>
      <c r="AE138">
        <v>0</v>
      </c>
      <c r="AF138">
        <v>0</v>
      </c>
      <c r="AG138">
        <v>0</v>
      </c>
      <c r="AH138">
        <v>0</v>
      </c>
      <c r="AI138">
        <v>0</v>
      </c>
      <c r="AJ138">
        <v>0</v>
      </c>
      <c r="AK138">
        <v>0</v>
      </c>
      <c r="AL138">
        <v>1</v>
      </c>
      <c r="AM138">
        <v>0</v>
      </c>
      <c r="AN138">
        <v>0</v>
      </c>
      <c r="AO138">
        <v>1</v>
      </c>
      <c r="AP138">
        <v>0</v>
      </c>
      <c r="AQ138">
        <v>0</v>
      </c>
      <c r="AR138">
        <v>0</v>
      </c>
      <c r="AS138">
        <v>0</v>
      </c>
      <c r="AT138">
        <v>0</v>
      </c>
      <c r="AU138">
        <v>0</v>
      </c>
      <c r="AV138">
        <v>0</v>
      </c>
      <c r="AW138">
        <v>2021</v>
      </c>
    </row>
    <row r="139" spans="1:49" x14ac:dyDescent="0.35">
      <c r="A139" t="s">
        <v>189</v>
      </c>
      <c r="B139" t="s">
        <v>56</v>
      </c>
      <c r="C139">
        <v>0</v>
      </c>
      <c r="D139">
        <v>0</v>
      </c>
      <c r="E139">
        <v>0</v>
      </c>
      <c r="F139">
        <v>0</v>
      </c>
      <c r="G139">
        <v>1</v>
      </c>
      <c r="H139">
        <v>1</v>
      </c>
      <c r="I139">
        <v>0</v>
      </c>
      <c r="J139">
        <v>0</v>
      </c>
      <c r="K139">
        <v>0</v>
      </c>
      <c r="L139">
        <v>0</v>
      </c>
      <c r="M139">
        <v>0</v>
      </c>
      <c r="N139">
        <v>0</v>
      </c>
      <c r="O139">
        <v>0</v>
      </c>
      <c r="P139">
        <v>0</v>
      </c>
      <c r="Q139">
        <v>1</v>
      </c>
      <c r="R139">
        <v>0</v>
      </c>
      <c r="S139" t="s">
        <v>50</v>
      </c>
      <c r="T139">
        <v>0</v>
      </c>
      <c r="U139">
        <v>0</v>
      </c>
      <c r="V139">
        <v>0</v>
      </c>
      <c r="W139">
        <v>0</v>
      </c>
      <c r="X139">
        <v>0</v>
      </c>
      <c r="Y139">
        <v>1</v>
      </c>
      <c r="Z139" t="s">
        <v>231</v>
      </c>
      <c r="AA139">
        <v>0</v>
      </c>
      <c r="AB139">
        <v>0</v>
      </c>
      <c r="AC139">
        <v>0</v>
      </c>
      <c r="AD139">
        <v>0</v>
      </c>
      <c r="AE139">
        <v>0</v>
      </c>
      <c r="AF139">
        <v>0</v>
      </c>
      <c r="AG139">
        <v>0</v>
      </c>
      <c r="AH139">
        <v>0</v>
      </c>
      <c r="AI139">
        <v>0</v>
      </c>
      <c r="AJ139">
        <v>0</v>
      </c>
      <c r="AK139">
        <v>0</v>
      </c>
      <c r="AL139">
        <v>1</v>
      </c>
      <c r="AM139">
        <v>0</v>
      </c>
      <c r="AN139">
        <v>0</v>
      </c>
      <c r="AO139">
        <v>0</v>
      </c>
      <c r="AP139">
        <v>0</v>
      </c>
      <c r="AQ139">
        <v>0</v>
      </c>
      <c r="AR139">
        <v>0</v>
      </c>
      <c r="AS139">
        <v>0</v>
      </c>
      <c r="AT139">
        <v>0</v>
      </c>
      <c r="AU139">
        <v>0</v>
      </c>
      <c r="AV139">
        <v>0</v>
      </c>
      <c r="AW139">
        <v>2021</v>
      </c>
    </row>
    <row r="140" spans="1:49" x14ac:dyDescent="0.35">
      <c r="A140" t="s">
        <v>190</v>
      </c>
      <c r="B140" t="s">
        <v>49</v>
      </c>
      <c r="C140">
        <v>0</v>
      </c>
      <c r="D140">
        <v>0</v>
      </c>
      <c r="E140">
        <v>0</v>
      </c>
      <c r="F140">
        <v>0</v>
      </c>
      <c r="G140">
        <v>1</v>
      </c>
      <c r="H140">
        <v>0</v>
      </c>
      <c r="I140">
        <v>0</v>
      </c>
      <c r="J140">
        <v>0</v>
      </c>
      <c r="K140">
        <v>1</v>
      </c>
      <c r="L140">
        <v>0</v>
      </c>
      <c r="M140">
        <v>0</v>
      </c>
      <c r="N140">
        <v>0</v>
      </c>
      <c r="O140">
        <v>0</v>
      </c>
      <c r="P140">
        <v>1</v>
      </c>
      <c r="Q140">
        <v>1</v>
      </c>
      <c r="R140">
        <v>0</v>
      </c>
      <c r="S140" t="s">
        <v>50</v>
      </c>
      <c r="T140">
        <v>0</v>
      </c>
      <c r="U140">
        <v>0</v>
      </c>
      <c r="V140">
        <v>0</v>
      </c>
      <c r="W140">
        <v>0</v>
      </c>
      <c r="X140">
        <v>0</v>
      </c>
      <c r="Y140">
        <v>1</v>
      </c>
      <c r="Z140" t="s">
        <v>231</v>
      </c>
      <c r="AA140">
        <v>0</v>
      </c>
      <c r="AB140">
        <v>0</v>
      </c>
      <c r="AC140">
        <v>0</v>
      </c>
      <c r="AD140">
        <v>0</v>
      </c>
      <c r="AE140">
        <v>0</v>
      </c>
      <c r="AF140">
        <v>0</v>
      </c>
      <c r="AG140">
        <v>1</v>
      </c>
      <c r="AH140">
        <v>0</v>
      </c>
      <c r="AI140">
        <v>0</v>
      </c>
      <c r="AJ140">
        <v>1</v>
      </c>
      <c r="AK140">
        <v>0</v>
      </c>
      <c r="AL140">
        <v>1</v>
      </c>
      <c r="AM140">
        <v>1</v>
      </c>
      <c r="AN140">
        <v>0</v>
      </c>
      <c r="AO140">
        <v>0</v>
      </c>
      <c r="AP140">
        <v>0</v>
      </c>
      <c r="AQ140">
        <v>0</v>
      </c>
      <c r="AR140">
        <v>0</v>
      </c>
      <c r="AS140">
        <v>1</v>
      </c>
      <c r="AT140">
        <v>0</v>
      </c>
      <c r="AU140">
        <v>0</v>
      </c>
      <c r="AV140">
        <v>0</v>
      </c>
      <c r="AW140">
        <v>2018</v>
      </c>
    </row>
    <row r="141" spans="1:49" x14ac:dyDescent="0.35">
      <c r="A141" t="s">
        <v>191</v>
      </c>
      <c r="B141" t="s">
        <v>49</v>
      </c>
      <c r="C141">
        <v>0</v>
      </c>
      <c r="D141">
        <v>0</v>
      </c>
      <c r="E141">
        <v>1</v>
      </c>
      <c r="F141">
        <v>0</v>
      </c>
      <c r="G141">
        <v>0</v>
      </c>
      <c r="H141">
        <v>0</v>
      </c>
      <c r="I141">
        <v>0</v>
      </c>
      <c r="J141">
        <v>0</v>
      </c>
      <c r="K141">
        <v>1</v>
      </c>
      <c r="L141">
        <v>0</v>
      </c>
      <c r="M141">
        <v>0</v>
      </c>
      <c r="N141">
        <v>0</v>
      </c>
      <c r="O141">
        <v>0</v>
      </c>
      <c r="P141">
        <v>1</v>
      </c>
      <c r="Q141">
        <v>0</v>
      </c>
      <c r="R141">
        <v>0</v>
      </c>
      <c r="S141" t="s">
        <v>50</v>
      </c>
      <c r="T141">
        <v>0</v>
      </c>
      <c r="U141">
        <v>0</v>
      </c>
      <c r="V141">
        <v>0</v>
      </c>
      <c r="W141">
        <v>0</v>
      </c>
      <c r="X141">
        <v>0</v>
      </c>
      <c r="Y141">
        <v>1</v>
      </c>
      <c r="Z141" t="s">
        <v>231</v>
      </c>
      <c r="AA141">
        <v>0</v>
      </c>
      <c r="AB141">
        <v>0</v>
      </c>
      <c r="AC141">
        <v>0</v>
      </c>
      <c r="AD141">
        <v>0</v>
      </c>
      <c r="AE141">
        <v>0</v>
      </c>
      <c r="AF141">
        <v>0</v>
      </c>
      <c r="AG141">
        <v>0</v>
      </c>
      <c r="AH141">
        <v>0</v>
      </c>
      <c r="AI141">
        <v>0</v>
      </c>
      <c r="AJ141">
        <v>0</v>
      </c>
      <c r="AK141">
        <v>0</v>
      </c>
      <c r="AL141">
        <v>1</v>
      </c>
      <c r="AM141">
        <v>1</v>
      </c>
      <c r="AN141">
        <v>0</v>
      </c>
      <c r="AO141">
        <v>0</v>
      </c>
      <c r="AP141">
        <v>0</v>
      </c>
      <c r="AQ141">
        <v>0</v>
      </c>
      <c r="AR141">
        <v>0</v>
      </c>
      <c r="AS141">
        <v>1</v>
      </c>
      <c r="AT141">
        <v>0</v>
      </c>
      <c r="AU141">
        <v>1</v>
      </c>
      <c r="AV141">
        <v>0</v>
      </c>
      <c r="AW141">
        <v>2021</v>
      </c>
    </row>
    <row r="142" spans="1:49" x14ac:dyDescent="0.35">
      <c r="A142" t="s">
        <v>192</v>
      </c>
      <c r="B142" t="s">
        <v>49</v>
      </c>
      <c r="C142">
        <v>0</v>
      </c>
      <c r="D142">
        <v>0</v>
      </c>
      <c r="E142">
        <v>0</v>
      </c>
      <c r="F142">
        <v>0</v>
      </c>
      <c r="G142">
        <v>1</v>
      </c>
      <c r="H142">
        <v>0</v>
      </c>
      <c r="I142">
        <v>0</v>
      </c>
      <c r="J142">
        <v>0</v>
      </c>
      <c r="K142">
        <v>0</v>
      </c>
      <c r="L142">
        <v>0</v>
      </c>
      <c r="M142">
        <v>0</v>
      </c>
      <c r="N142">
        <v>1</v>
      </c>
      <c r="O142">
        <v>0</v>
      </c>
      <c r="P142">
        <v>1</v>
      </c>
      <c r="Q142">
        <v>1</v>
      </c>
      <c r="R142">
        <v>0</v>
      </c>
      <c r="S142" t="s">
        <v>50</v>
      </c>
      <c r="T142">
        <v>0</v>
      </c>
      <c r="U142">
        <v>0</v>
      </c>
      <c r="V142">
        <v>0</v>
      </c>
      <c r="W142">
        <v>1</v>
      </c>
      <c r="X142">
        <v>1</v>
      </c>
      <c r="Y142">
        <v>0</v>
      </c>
      <c r="Z142" t="s">
        <v>231</v>
      </c>
      <c r="AA142">
        <v>0</v>
      </c>
      <c r="AB142">
        <v>0</v>
      </c>
      <c r="AC142">
        <v>0</v>
      </c>
      <c r="AD142">
        <v>0</v>
      </c>
      <c r="AE142">
        <v>0</v>
      </c>
      <c r="AF142">
        <v>0</v>
      </c>
      <c r="AG142">
        <v>0</v>
      </c>
      <c r="AH142">
        <v>0</v>
      </c>
      <c r="AI142">
        <v>0</v>
      </c>
      <c r="AJ142">
        <v>0</v>
      </c>
      <c r="AK142">
        <v>0</v>
      </c>
      <c r="AL142">
        <v>0</v>
      </c>
      <c r="AM142">
        <v>1</v>
      </c>
      <c r="AN142">
        <v>0</v>
      </c>
      <c r="AO142">
        <v>0</v>
      </c>
      <c r="AP142">
        <v>1</v>
      </c>
      <c r="AQ142">
        <v>0</v>
      </c>
      <c r="AR142">
        <v>0</v>
      </c>
      <c r="AS142">
        <v>1</v>
      </c>
      <c r="AT142">
        <v>0</v>
      </c>
      <c r="AU142">
        <v>0</v>
      </c>
      <c r="AV142">
        <v>0</v>
      </c>
      <c r="AW142">
        <v>2016</v>
      </c>
    </row>
    <row r="143" spans="1:49" x14ac:dyDescent="0.35">
      <c r="A143" t="s">
        <v>193</v>
      </c>
      <c r="B143" t="s">
        <v>56</v>
      </c>
      <c r="C143">
        <v>0</v>
      </c>
      <c r="D143">
        <v>0</v>
      </c>
      <c r="E143">
        <v>0</v>
      </c>
      <c r="F143">
        <v>0</v>
      </c>
      <c r="G143">
        <v>1</v>
      </c>
      <c r="H143">
        <v>1</v>
      </c>
      <c r="I143">
        <v>0</v>
      </c>
      <c r="J143">
        <v>0</v>
      </c>
      <c r="K143">
        <v>0</v>
      </c>
      <c r="L143">
        <v>0</v>
      </c>
      <c r="M143">
        <v>0</v>
      </c>
      <c r="N143">
        <v>0</v>
      </c>
      <c r="O143">
        <v>0</v>
      </c>
      <c r="P143">
        <v>0</v>
      </c>
      <c r="Q143">
        <v>1</v>
      </c>
      <c r="R143">
        <v>0</v>
      </c>
      <c r="S143" t="s">
        <v>50</v>
      </c>
      <c r="T143">
        <v>0</v>
      </c>
      <c r="U143">
        <v>0</v>
      </c>
      <c r="V143">
        <v>0</v>
      </c>
      <c r="W143">
        <v>0</v>
      </c>
      <c r="X143">
        <v>0</v>
      </c>
      <c r="Y143">
        <v>1</v>
      </c>
      <c r="Z143" t="s">
        <v>231</v>
      </c>
      <c r="AA143">
        <v>0</v>
      </c>
      <c r="AB143">
        <v>0</v>
      </c>
      <c r="AC143">
        <v>0</v>
      </c>
      <c r="AD143">
        <v>0</v>
      </c>
      <c r="AE143">
        <v>0</v>
      </c>
      <c r="AF143">
        <v>0</v>
      </c>
      <c r="AG143">
        <v>1</v>
      </c>
      <c r="AH143">
        <v>0</v>
      </c>
      <c r="AI143">
        <v>0</v>
      </c>
      <c r="AJ143">
        <v>0</v>
      </c>
      <c r="AK143">
        <v>0</v>
      </c>
      <c r="AL143">
        <v>1</v>
      </c>
      <c r="AM143">
        <v>1</v>
      </c>
      <c r="AN143">
        <v>0</v>
      </c>
      <c r="AO143">
        <v>1</v>
      </c>
      <c r="AP143">
        <v>0</v>
      </c>
      <c r="AQ143">
        <v>0</v>
      </c>
      <c r="AR143">
        <v>0</v>
      </c>
      <c r="AS143">
        <v>0</v>
      </c>
      <c r="AT143">
        <v>0</v>
      </c>
      <c r="AU143">
        <v>0</v>
      </c>
      <c r="AV143">
        <v>0</v>
      </c>
      <c r="AW143">
        <v>2019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FF2BDC-C1D1-4EF2-ACB9-5118BDBE06AF}">
  <dimension ref="A1:B8"/>
  <sheetViews>
    <sheetView workbookViewId="0">
      <selection activeCell="B18" sqref="B18"/>
    </sheetView>
  </sheetViews>
  <sheetFormatPr defaultRowHeight="14.5" x14ac:dyDescent="0.35"/>
  <cols>
    <col min="1" max="1" width="9.453125" bestFit="1" customWidth="1"/>
    <col min="2" max="2" width="145.453125" bestFit="1" customWidth="1"/>
  </cols>
  <sheetData>
    <row r="1" spans="1:2" ht="18.5" x14ac:dyDescent="0.35">
      <c r="A1" s="52" t="s">
        <v>212</v>
      </c>
      <c r="B1" s="52" t="s">
        <v>252</v>
      </c>
    </row>
    <row r="2" spans="1:2" x14ac:dyDescent="0.35">
      <c r="A2" s="110">
        <v>44800</v>
      </c>
      <c r="B2" t="s">
        <v>214</v>
      </c>
    </row>
    <row r="3" spans="1:2" x14ac:dyDescent="0.35">
      <c r="A3" s="110"/>
      <c r="B3" t="s">
        <v>213</v>
      </c>
    </row>
    <row r="4" spans="1:2" x14ac:dyDescent="0.35">
      <c r="A4" s="110"/>
      <c r="B4" t="s">
        <v>215</v>
      </c>
    </row>
    <row r="5" spans="1:2" x14ac:dyDescent="0.35">
      <c r="A5" s="110"/>
      <c r="B5" t="s">
        <v>216</v>
      </c>
    </row>
    <row r="6" spans="1:2" x14ac:dyDescent="0.35">
      <c r="A6" s="110"/>
      <c r="B6" t="s">
        <v>278</v>
      </c>
    </row>
    <row r="7" spans="1:2" x14ac:dyDescent="0.35">
      <c r="A7" s="110"/>
      <c r="B7" t="s">
        <v>279</v>
      </c>
    </row>
    <row r="8" spans="1:2" x14ac:dyDescent="0.35">
      <c r="A8" s="110"/>
      <c r="B8" t="s">
        <v>280</v>
      </c>
    </row>
  </sheetData>
  <sheetProtection sheet="1" objects="1" scenarios="1"/>
  <mergeCells count="1">
    <mergeCell ref="A2:A8"/>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Props1.xml><?xml version="1.0" encoding="utf-8"?>
<ds:datastoreItem xmlns:ds="http://schemas.openxmlformats.org/officeDocument/2006/customXml" ds:itemID="{694643A3-F7E7-4BEE-96EB-CF309ED397A5}">
  <ds:schemaRefs/>
</ds:datastoreItem>
</file>

<file path=customXml/itemProps2.xml><?xml version="1.0" encoding="utf-8"?>
<ds:datastoreItem xmlns:ds="http://schemas.openxmlformats.org/officeDocument/2006/customXml" ds:itemID="{210E5D52-B3B6-4606-B2B2-80F2443C5932}">
  <ds:schemaRefs/>
</ds:datastoreItem>
</file>

<file path=customXml/itemProps3.xml><?xml version="1.0" encoding="utf-8"?>
<ds:datastoreItem xmlns:ds="http://schemas.openxmlformats.org/officeDocument/2006/customXml" ds:itemID="{63C7365E-7A0E-414F-908F-2E036FCABD6F}">
  <ds:schemaRefs/>
</ds:datastoreItem>
</file>

<file path=customXml/itemProps4.xml><?xml version="1.0" encoding="utf-8"?>
<ds:datastoreItem xmlns:ds="http://schemas.openxmlformats.org/officeDocument/2006/customXml" ds:itemID="{0BCE7586-1F69-4E94-9146-61B9ACEEDCBA}">
  <ds:schemaRefs>
    <ds:schemaRef ds:uri="http://schemas.microsoft.com/DataMashup"/>
  </ds:schemaRefs>
</ds:datastoreItem>
</file>

<file path=customXml/itemProps5.xml><?xml version="1.0" encoding="utf-8"?>
<ds:datastoreItem xmlns:ds="http://schemas.openxmlformats.org/officeDocument/2006/customXml" ds:itemID="{5EBB7A53-3791-4031-9E73-0D5D8209B75E}">
  <ds:schemaRefs/>
</ds:datastoreItem>
</file>

<file path=customXml/itemProps6.xml><?xml version="1.0" encoding="utf-8"?>
<ds:datastoreItem xmlns:ds="http://schemas.openxmlformats.org/officeDocument/2006/customXml" ds:itemID="{2586EF26-3D82-445E-A574-7ED5DABCCCE5}">
  <ds:schemaRefs/>
</ds:datastoreItem>
</file>

<file path=customXml/itemProps7.xml><?xml version="1.0" encoding="utf-8"?>
<ds:datastoreItem xmlns:ds="http://schemas.openxmlformats.org/officeDocument/2006/customXml" ds:itemID="{CC8DC2CC-FEA6-404A-A6C6-42D415817061}">
  <ds:schemaRefs/>
</ds:datastoreItem>
</file>

<file path=customXml/itemProps8.xml><?xml version="1.0" encoding="utf-8"?>
<ds:datastoreItem xmlns:ds="http://schemas.openxmlformats.org/officeDocument/2006/customXml" ds:itemID="{EA1A8810-3901-4785-89CF-4E396355AE1E}">
  <ds:schemaRefs/>
</ds:datastoreItem>
</file>

<file path=customXml/itemProps9.xml><?xml version="1.0" encoding="utf-8"?>
<ds:datastoreItem xmlns:ds="http://schemas.openxmlformats.org/officeDocument/2006/customXml" ds:itemID="{BDD76D19-A8BB-490A-9C23-373C8E3F4AF8}">
  <ds:schemaRefs/>
</ds:datastoreItem>
</file>

<file path=customXml/itemProps10.xml><?xml version="1.0" encoding="utf-8"?>
<ds:datastoreItem xmlns:ds="http://schemas.openxmlformats.org/officeDocument/2006/customXml" ds:itemID="{01B024EF-277C-4827-9C05-69FAA5B565B4}">
  <ds:schemaRefs/>
</ds:datastoreItem>
</file>

<file path=customXml/itemProps11.xml><?xml version="1.0" encoding="utf-8"?>
<ds:datastoreItem xmlns:ds="http://schemas.openxmlformats.org/officeDocument/2006/customXml" ds:itemID="{E2E802F3-3F58-4DFC-B73E-43C2AFA3F158}">
  <ds:schemaRefs/>
</ds:datastoreItem>
</file>

<file path=customXml/itemProps12.xml><?xml version="1.0" encoding="utf-8"?>
<ds:datastoreItem xmlns:ds="http://schemas.openxmlformats.org/officeDocument/2006/customXml" ds:itemID="{465E8993-F172-4FC4-A183-1246EF776201}">
  <ds:schemaRefs/>
</ds:datastoreItem>
</file>

<file path=customXml/itemProps13.xml><?xml version="1.0" encoding="utf-8"?>
<ds:datastoreItem xmlns:ds="http://schemas.openxmlformats.org/officeDocument/2006/customXml" ds:itemID="{68239C40-A4FE-4AF5-8EEE-32B853665061}">
  <ds:schemaRefs/>
</ds:datastoreItem>
</file>

<file path=customXml/itemProps14.xml><?xml version="1.0" encoding="utf-8"?>
<ds:datastoreItem xmlns:ds="http://schemas.openxmlformats.org/officeDocument/2006/customXml" ds:itemID="{3EB54C86-1924-4098-85DA-8649FE030116}">
  <ds:schemaRefs/>
</ds:datastoreItem>
</file>

<file path=customXml/itemProps15.xml><?xml version="1.0" encoding="utf-8"?>
<ds:datastoreItem xmlns:ds="http://schemas.openxmlformats.org/officeDocument/2006/customXml" ds:itemID="{82740489-3B28-4816-A023-AE9EBC4488AF}">
  <ds:schemaRefs/>
</ds:datastoreItem>
</file>

<file path=customXml/itemProps16.xml><?xml version="1.0" encoding="utf-8"?>
<ds:datastoreItem xmlns:ds="http://schemas.openxmlformats.org/officeDocument/2006/customXml" ds:itemID="{627E552E-8B47-4958-A0AB-A7600E25A783}">
  <ds:schemaRefs/>
</ds:datastoreItem>
</file>

<file path=customXml/itemProps17.xml><?xml version="1.0" encoding="utf-8"?>
<ds:datastoreItem xmlns:ds="http://schemas.openxmlformats.org/officeDocument/2006/customXml" ds:itemID="{DCA5300E-3710-4812-A315-1B32C83C02CD}">
  <ds:schemaRefs/>
</ds:datastoreItem>
</file>

<file path=customXml/itemProps18.xml><?xml version="1.0" encoding="utf-8"?>
<ds:datastoreItem xmlns:ds="http://schemas.openxmlformats.org/officeDocument/2006/customXml" ds:itemID="{774B1134-215C-4E0A-86D4-9EF299D3AA05}">
  <ds:schemaRefs/>
</ds:datastoreItem>
</file>

<file path=customXml/itemProps19.xml><?xml version="1.0" encoding="utf-8"?>
<ds:datastoreItem xmlns:ds="http://schemas.openxmlformats.org/officeDocument/2006/customXml" ds:itemID="{B96B9918-CF6A-45E1-8D83-BCF1CA3290DD}">
  <ds:schemaRefs/>
</ds:datastoreItem>
</file>

<file path=customXml/itemProps20.xml><?xml version="1.0" encoding="utf-8"?>
<ds:datastoreItem xmlns:ds="http://schemas.openxmlformats.org/officeDocument/2006/customXml" ds:itemID="{FDBFE509-AE40-45AE-91DF-E981101DE29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Overview and Instructions</vt:lpstr>
      <vt:lpstr>Dashboard</vt:lpstr>
      <vt:lpstr>SummaryStats</vt:lpstr>
      <vt:lpstr>Figure-Data Type and Context</vt:lpstr>
      <vt:lpstr>Figure-Years</vt:lpstr>
      <vt:lpstr>Figure-4P Classifications</vt:lpstr>
      <vt:lpstr>DetailedTable</vt:lpstr>
      <vt:lpstr>Figure 4</vt:lpstr>
      <vt:lpstr>2022_Operations Research and An</vt:lpstr>
      <vt:lpstr>Tool Updates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Geri Dimas</dc:creator>
  <cp:lastModifiedBy>gerid</cp:lastModifiedBy>
  <dcterms:created xsi:type="dcterms:W3CDTF">2022-04-27T14:52:59Z</dcterms:created>
  <dcterms:modified xsi:type="dcterms:W3CDTF">2022-08-29T18:49:18Z</dcterms:modified>
</cp:coreProperties>
</file>